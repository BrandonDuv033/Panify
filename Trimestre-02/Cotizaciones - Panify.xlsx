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Brandon\SENA\Proyecto\Segundo Trimestre\"/>
    </mc:Choice>
  </mc:AlternateContent>
  <xr:revisionPtr revIDLastSave="0" documentId="13_ncr:1_{5760A2A0-7190-4295-862B-E3683D080AED}" xr6:coauthVersionLast="47" xr6:coauthVersionMax="47" xr10:uidLastSave="{00000000-0000-0000-0000-000000000000}"/>
  <bookViews>
    <workbookView xWindow="-120" yWindow="-120" windowWidth="19440" windowHeight="10590" firstSheet="6" activeTab="9" xr2:uid="{00000000-000D-0000-FFFF-FFFF00000000}"/>
  </bookViews>
  <sheets>
    <sheet name="PC" sheetId="2" r:id="rId1"/>
    <sheet name="Mouse" sheetId="1" r:id="rId2"/>
    <sheet name="Teclado" sheetId="10" r:id="rId3"/>
    <sheet name="Monitor" sheetId="3" r:id="rId4"/>
    <sheet name="Conectividad" sheetId="4" r:id="rId5"/>
    <sheet name="Hosting FrontEnd" sheetId="13" r:id="rId6"/>
    <sheet name="Hosting Base de Datos" sheetId="12" r:id="rId7"/>
    <sheet name="Hosting BackEnd" sheetId="11" r:id="rId8"/>
    <sheet name="Desarrollo" sheetId="8" r:id="rId9"/>
    <sheet name="Resumen General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2" i="9" l="1"/>
  <c r="K21" i="9"/>
  <c r="K20" i="9"/>
  <c r="K31" i="9"/>
  <c r="K30" i="9"/>
  <c r="K29" i="9"/>
  <c r="K28" i="9"/>
  <c r="H5" i="13"/>
  <c r="I5" i="13" s="1"/>
  <c r="G5" i="13"/>
  <c r="H4" i="13"/>
  <c r="I4" i="13" s="1"/>
  <c r="G4" i="13"/>
  <c r="H3" i="13"/>
  <c r="I3" i="13" s="1"/>
  <c r="G3" i="13"/>
  <c r="H5" i="12"/>
  <c r="I5" i="12" s="1"/>
  <c r="G5" i="12"/>
  <c r="H4" i="12"/>
  <c r="I4" i="12" s="1"/>
  <c r="G4" i="12"/>
  <c r="H3" i="12"/>
  <c r="I3" i="12" s="1"/>
  <c r="G3" i="12"/>
  <c r="H5" i="11"/>
  <c r="I5" i="11" s="1"/>
  <c r="G5" i="11"/>
  <c r="H4" i="11"/>
  <c r="I4" i="11" s="1"/>
  <c r="G4" i="11"/>
  <c r="H3" i="11"/>
  <c r="I3" i="11" s="1"/>
  <c r="G3" i="11"/>
  <c r="H5" i="10"/>
  <c r="I5" i="10" s="1"/>
  <c r="G5" i="10"/>
  <c r="H4" i="10"/>
  <c r="I4" i="10" s="1"/>
  <c r="G4" i="10"/>
  <c r="H3" i="10"/>
  <c r="I3" i="10" s="1"/>
  <c r="G3" i="10"/>
  <c r="K23" i="9"/>
  <c r="K27" i="9"/>
  <c r="K19" i="9"/>
  <c r="F8" i="8"/>
  <c r="G4" i="4"/>
  <c r="G4" i="1"/>
  <c r="G5" i="1"/>
  <c r="G3" i="1"/>
  <c r="G4" i="2"/>
  <c r="G5" i="2"/>
  <c r="G3" i="2"/>
  <c r="G4" i="3"/>
  <c r="G5" i="3"/>
  <c r="G3" i="3"/>
  <c r="H3" i="3"/>
  <c r="I3" i="3"/>
  <c r="H3" i="4"/>
  <c r="I3" i="4" s="1"/>
  <c r="G3" i="4"/>
  <c r="H5" i="4"/>
  <c r="I5" i="4" s="1"/>
  <c r="H4" i="4"/>
  <c r="I4" i="4" s="1"/>
  <c r="H4" i="3"/>
  <c r="I4" i="3" s="1"/>
  <c r="H5" i="3"/>
  <c r="I5" i="3" s="1"/>
  <c r="H3" i="2"/>
  <c r="I3" i="2" s="1"/>
  <c r="H4" i="2"/>
  <c r="I4" i="2" s="1"/>
  <c r="H5" i="2"/>
  <c r="I5" i="2" s="1"/>
  <c r="H5" i="1"/>
  <c r="I5" i="1" s="1"/>
  <c r="H3" i="1"/>
  <c r="I3" i="1" s="1"/>
  <c r="H4" i="1"/>
  <c r="I4" i="1" s="1"/>
  <c r="K32" i="9" l="1"/>
</calcChain>
</file>

<file path=xl/sharedStrings.xml><?xml version="1.0" encoding="utf-8"?>
<sst xmlns="http://schemas.openxmlformats.org/spreadsheetml/2006/main" count="307" uniqueCount="160">
  <si>
    <t>Empresa</t>
  </si>
  <si>
    <t>Importe unitario</t>
  </si>
  <si>
    <t>Tipo de cambio</t>
  </si>
  <si>
    <t>Forma de pago 
(Contado o cheque)</t>
  </si>
  <si>
    <t>Observaciones</t>
  </si>
  <si>
    <t>Mouse óptico ergonómico USB alámbrico TeckNet Pro S2 para laptop, 6 botones, 2000DPI</t>
  </si>
  <si>
    <t>N - 2</t>
  </si>
  <si>
    <t>N - 3</t>
  </si>
  <si>
    <t>Amazon</t>
  </si>
  <si>
    <t>Mouse Genius DX-101 Óptico USB 1000 DPI Negro - Ergonómico</t>
  </si>
  <si>
    <t>Logitech</t>
  </si>
  <si>
    <t>Mouse LOGITECH G Alámbrico Gaming Lightsync G203 Negro</t>
  </si>
  <si>
    <t>Falabella</t>
  </si>
  <si>
    <t>N - 1</t>
  </si>
  <si>
    <t>N -2</t>
  </si>
  <si>
    <t>RYZEN 5 5600GT RAM 16GB DDR4 SSD 512GB M.2 BOARD A520M CHASIS 4FANS RGB</t>
  </si>
  <si>
    <t>Linio</t>
  </si>
  <si>
    <t>COMPUTADOR DE ESCRITORIO PROCESADOR I3-10105F / SSD 512GB / MONITOR 22"</t>
  </si>
  <si>
    <t>Dell Optiplex 3060 Computadora de escritorio | Intel i5-8500 (3.2) | 32GB DDR4 RAM | 1TB SSD de estado sólido | WiFi integrado | Bluetooth | Windows 11 Professional</t>
  </si>
  <si>
    <t>Monitor LG 22U401A-B 21.5 Fhd Amd Freesync 100hz 5ms</t>
  </si>
  <si>
    <t>Alkosto</t>
  </si>
  <si>
    <t>Monitor KALLEY 22" Pulgadas K-M22FP FHD Plano Negro</t>
  </si>
  <si>
    <t>Monitor Philips 221V8LB (22", Full HD, 100Hz): Delgado, VESA, HDMI/VGA, LowBlue, Adaptive Sync.</t>
  </si>
  <si>
    <t>Movistar</t>
  </si>
  <si>
    <t>Planes</t>
  </si>
  <si>
    <t>Tigo</t>
  </si>
  <si>
    <t>Claro</t>
  </si>
  <si>
    <t>500 mb</t>
  </si>
  <si>
    <t>900 mb Fibra Optica</t>
  </si>
  <si>
    <t>N -3</t>
  </si>
  <si>
    <t>Nombre</t>
  </si>
  <si>
    <t>Rol</t>
  </si>
  <si>
    <t>Información de contacto</t>
  </si>
  <si>
    <t>Descripción del Rol</t>
  </si>
  <si>
    <t>Precio del servicio</t>
  </si>
  <si>
    <t>Kevin González</t>
  </si>
  <si>
    <t>Brayan Devia</t>
  </si>
  <si>
    <t>Martín Cruz</t>
  </si>
  <si>
    <t>Brandon Guevara</t>
  </si>
  <si>
    <t>Jeison Diaz</t>
  </si>
  <si>
    <t>Recolección y análisis de requisitos, estudio del proceso actual, documentación del SRS</t>
  </si>
  <si>
    <t>Analista de Requerimientos</t>
  </si>
  <si>
    <t>Diseñador UI/UX</t>
  </si>
  <si>
    <t>Diseño de interfaces, prototipado, diagramación de pantallas</t>
  </si>
  <si>
    <t>Desarrollador Frontend</t>
  </si>
  <si>
    <t>Implementación visual, navegación, validaciones de usuario</t>
  </si>
  <si>
    <t>Desarrollador Backend</t>
  </si>
  <si>
    <t>Lógica del sistema, API, base de datos, control de stock, pedidos</t>
  </si>
  <si>
    <t>Tester</t>
  </si>
  <si>
    <t>Pruebas funcionales, reporte de errores, trazabilidad, validación contra requisitos</t>
  </si>
  <si>
    <t>TOTAL:</t>
  </si>
  <si>
    <t>Presupuestos</t>
  </si>
  <si>
    <t>Importe total 
IVA incluido</t>
  </si>
  <si>
    <t>Producto</t>
  </si>
  <si>
    <t>Link</t>
  </si>
  <si>
    <t>N de CUIT, Direccion, Telefono</t>
  </si>
  <si>
    <t>N de CUIT, Direccion,  Telefono</t>
  </si>
  <si>
    <t>Servicio</t>
  </si>
  <si>
    <r>
      <t xml:space="preserve">Importe total
</t>
    </r>
    <r>
      <rPr>
        <b/>
        <i/>
        <sz val="10"/>
        <color theme="1"/>
        <rFont val="Arial"/>
        <family val="2"/>
      </rPr>
      <t>(moneda extranjera)</t>
    </r>
  </si>
  <si>
    <t>Descripcion del servicio</t>
  </si>
  <si>
    <t>Importe total  IVA incluido</t>
  </si>
  <si>
    <r>
      <t xml:space="preserve">Importe total </t>
    </r>
    <r>
      <rPr>
        <b/>
        <i/>
        <sz val="10"/>
        <color theme="1"/>
        <rFont val="Arial"/>
        <family val="2"/>
      </rPr>
      <t>(moneda extranjera)</t>
    </r>
  </si>
  <si>
    <t>Plan de Internet</t>
  </si>
  <si>
    <r>
      <t xml:space="preserve">Importe total
</t>
    </r>
    <r>
      <rPr>
        <b/>
        <i/>
        <sz val="10"/>
        <rFont val="Arial"/>
        <family val="2"/>
      </rPr>
      <t>(moneda extranjera)</t>
    </r>
  </si>
  <si>
    <r>
      <rPr>
        <b/>
        <sz val="10"/>
        <rFont val="Arial"/>
        <family val="2"/>
      </rPr>
      <t>NIT:</t>
    </r>
    <r>
      <rPr>
        <sz val="10"/>
        <rFont val="Arial"/>
        <family val="2"/>
      </rPr>
      <t xml:space="preserve"> 800.153.993‑7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Carrera 68A No. 24B‑10, Bogotá D.C., Colombia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01 8000 341 818</t>
    </r>
  </si>
  <si>
    <r>
      <rPr>
        <b/>
        <sz val="10"/>
        <rFont val="Arial"/>
        <family val="2"/>
      </rPr>
      <t>NIT:</t>
    </r>
    <r>
      <rPr>
        <sz val="10"/>
        <rFont val="Arial"/>
        <family val="2"/>
      </rPr>
      <t xml:space="preserve"> 830.122.566‑1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Calle 100 No. 7‑33, Bogotá D.C., Colombia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01 8000 930 930</t>
    </r>
  </si>
  <si>
    <r>
      <rPr>
        <b/>
        <sz val="10"/>
        <rFont val="Arial"/>
        <family val="2"/>
      </rPr>
      <t>NIT:</t>
    </r>
    <r>
      <rPr>
        <sz val="10"/>
        <rFont val="Arial"/>
        <family val="2"/>
      </rPr>
      <t xml:space="preserve"> 830.114.921‑1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Carrera 9 No. 99‑02, Bogotá D.C., Colombia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01 8000 422 222</t>
    </r>
  </si>
  <si>
    <r>
      <rPr>
        <b/>
        <sz val="10"/>
        <color theme="1"/>
        <rFont val="Arial"/>
        <family val="2"/>
      </rPr>
      <t xml:space="preserve">Tax ID (EE.UU.): </t>
    </r>
    <r>
      <rPr>
        <sz val="10"/>
        <color theme="1"/>
        <rFont val="Arial"/>
        <family val="2"/>
      </rPr>
      <t xml:space="preserve">91‑1646860
</t>
    </r>
    <r>
      <rPr>
        <b/>
        <sz val="10"/>
        <color theme="1"/>
        <rFont val="Arial"/>
        <family val="2"/>
      </rPr>
      <t xml:space="preserve">Dirección: </t>
    </r>
    <r>
      <rPr>
        <sz val="10"/>
        <color theme="1"/>
        <rFont val="Arial"/>
        <family val="2"/>
      </rPr>
      <t xml:space="preserve">410 Terry Ave N, Seattle, WA 98109, United States
</t>
    </r>
    <r>
      <rPr>
        <b/>
        <sz val="10"/>
        <color theme="1"/>
        <rFont val="Arial"/>
        <family val="2"/>
      </rPr>
      <t xml:space="preserve">Teléfono: </t>
    </r>
    <r>
      <rPr>
        <sz val="10"/>
        <color theme="1"/>
        <rFont val="Arial"/>
        <family val="2"/>
      </rPr>
      <t>+1 (206) 266‑1000</t>
    </r>
  </si>
  <si>
    <r>
      <rPr>
        <b/>
        <sz val="10"/>
        <color theme="1"/>
        <rFont val="Arial"/>
        <family val="2"/>
      </rPr>
      <t>NIT:</t>
    </r>
    <r>
      <rPr>
        <sz val="10"/>
        <color theme="1"/>
        <rFont val="Arial"/>
        <family val="2"/>
      </rPr>
      <t xml:space="preserve"> 900.017.447‑8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Carrera 7 No. 113‑43, Bogotá D.C., Colombia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(601) 587 8000</t>
    </r>
  </si>
  <si>
    <r>
      <rPr>
        <b/>
        <sz val="10"/>
        <rFont val="Arial"/>
        <family val="2"/>
      </rPr>
      <t xml:space="preserve">Tax ID (EE.UU.): </t>
    </r>
    <r>
      <rPr>
        <sz val="10"/>
        <rFont val="Arial"/>
        <family val="2"/>
      </rPr>
      <t xml:space="preserve">91‑1646860
</t>
    </r>
    <r>
      <rPr>
        <b/>
        <sz val="10"/>
        <rFont val="Arial"/>
        <family val="2"/>
      </rPr>
      <t xml:space="preserve">Dirección: </t>
    </r>
    <r>
      <rPr>
        <sz val="10"/>
        <rFont val="Arial"/>
        <family val="2"/>
      </rPr>
      <t xml:space="preserve">410 Terry Ave N, Seattle, WA 98109, United States
</t>
    </r>
    <r>
      <rPr>
        <b/>
        <sz val="10"/>
        <rFont val="Arial"/>
        <family val="2"/>
      </rPr>
      <t xml:space="preserve">Teléfono: </t>
    </r>
    <r>
      <rPr>
        <sz val="10"/>
        <rFont val="Arial"/>
        <family val="2"/>
      </rPr>
      <t>+1 (206) 266‑1000</t>
    </r>
  </si>
  <si>
    <r>
      <t xml:space="preserve">Pantalla: </t>
    </r>
    <r>
      <rPr>
        <sz val="10"/>
        <rFont val="Arial"/>
        <family val="2"/>
      </rPr>
      <t xml:space="preserve">21.5 pulgadas, resolución 1920x1080 (Full HD), Panel VA. 
</t>
    </r>
    <r>
      <rPr>
        <b/>
        <sz val="10"/>
        <rFont val="Arial"/>
        <family val="2"/>
      </rPr>
      <t xml:space="preserve">Imagen: </t>
    </r>
    <r>
      <rPr>
        <sz val="10"/>
        <rFont val="Arial"/>
        <family val="2"/>
      </rPr>
      <t xml:space="preserve">16:9, sRGB 99%, 250 cd/m² de brillo, HDR 10.
</t>
    </r>
    <r>
      <rPr>
        <b/>
        <sz val="10"/>
        <rFont val="Arial"/>
        <family val="2"/>
      </rPr>
      <t xml:space="preserve"> Rendimiento: </t>
    </r>
    <r>
      <rPr>
        <sz val="10"/>
        <rFont val="Arial"/>
        <family val="2"/>
      </rPr>
      <t>100 Hz de tasa de refresco, 5 ms (GtG más rápido) de tiempo de respuesta.</t>
    </r>
    <r>
      <rPr>
        <b/>
        <sz val="10"/>
        <rFont val="Arial"/>
        <family val="2"/>
      </rPr>
      <t xml:space="preserve"> 
Conectividad: </t>
    </r>
    <r>
      <rPr>
        <sz val="10"/>
        <rFont val="Arial"/>
        <family val="2"/>
      </rPr>
      <t>1x D-Sub, 1x HDMI.</t>
    </r>
    <r>
      <rPr>
        <b/>
        <sz val="10"/>
        <rFont val="Arial"/>
        <family val="2"/>
      </rPr>
      <t xml:space="preserve"> 
Mecánico: </t>
    </r>
    <r>
      <rPr>
        <sz val="10"/>
        <rFont val="Arial"/>
        <family val="2"/>
      </rPr>
      <t>Ajuste de ladeo, 492.5 x 378.4 x 200.8 mm, 2.3 Kg.</t>
    </r>
  </si>
  <si>
    <r>
      <rPr>
        <b/>
        <sz val="10"/>
        <rFont val="Arial"/>
        <family val="2"/>
      </rPr>
      <t xml:space="preserve">NIT: </t>
    </r>
    <r>
      <rPr>
        <sz val="10"/>
        <rFont val="Arial"/>
        <family val="2"/>
      </rPr>
      <t xml:space="preserve">890.900.943‑1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Calle 170 No. 92‑97, Bogotá D.C., Colombia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(601) 407 3033</t>
    </r>
  </si>
  <si>
    <r>
      <rPr>
        <b/>
        <sz val="10"/>
        <rFont val="Arial"/>
        <family val="2"/>
      </rPr>
      <t>Rendimiento:</t>
    </r>
    <r>
      <rPr>
        <sz val="10"/>
        <rFont val="Arial"/>
        <family val="2"/>
      </rPr>
      <t xml:space="preserve"> 100 Hz de tasa de refresco, 1ms de tiempo de respuesta. 
</t>
    </r>
    <r>
      <rPr>
        <b/>
        <sz val="10"/>
        <rFont val="Arial"/>
        <family val="2"/>
      </rPr>
      <t>Imagen:</t>
    </r>
    <r>
      <rPr>
        <sz val="10"/>
        <rFont val="Arial"/>
        <family val="2"/>
      </rPr>
      <t xml:space="preserve"> Full HD (imágenes claras y vívidas). 
</t>
    </r>
    <r>
      <rPr>
        <b/>
        <sz val="10"/>
        <rFont val="Arial"/>
        <family val="2"/>
      </rPr>
      <t>Diseño:</t>
    </r>
    <r>
      <rPr>
        <sz val="10"/>
        <rFont val="Arial"/>
        <family val="2"/>
      </rPr>
      <t xml:space="preserve"> Elegante, sin marco (frameless).</t>
    </r>
  </si>
  <si>
    <r>
      <rPr>
        <b/>
        <sz val="10"/>
        <rFont val="Arial"/>
        <family val="2"/>
      </rPr>
      <t>NIT:</t>
    </r>
    <r>
      <rPr>
        <sz val="10"/>
        <rFont val="Arial"/>
        <family val="2"/>
      </rPr>
      <t xml:space="preserve"> 900.017.447‑8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Carrera 7 No. 113‑43, Bogotá D.C., Colombia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(601) 587 8000</t>
    </r>
  </si>
  <si>
    <r>
      <rPr>
        <b/>
        <sz val="10"/>
        <rFont val="Arial"/>
        <family val="2"/>
      </rPr>
      <t>Monitor:</t>
    </r>
    <r>
      <rPr>
        <sz val="10"/>
        <rFont val="Arial"/>
        <family val="2"/>
      </rPr>
      <t xml:space="preserve"> 21.5 pulgadas, VA Panel, Full HD (1920x1080) </t>
    </r>
    <r>
      <rPr>
        <b/>
        <sz val="10"/>
        <rFont val="Arial"/>
        <family val="2"/>
      </rPr>
      <t>Rendimiento Visual:</t>
    </r>
    <r>
      <rPr>
        <sz val="10"/>
        <rFont val="Arial"/>
        <family val="2"/>
      </rPr>
      <t xml:space="preserve"> sRGB 99%, 250 cd/m² brillo, 100 Hz tasa de refresco, 5ms tiempo de respuesta. 
</t>
    </r>
    <r>
      <rPr>
        <b/>
        <sz val="10"/>
        <rFont val="Arial"/>
        <family val="2"/>
      </rPr>
      <t>Características:</t>
    </r>
    <r>
      <rPr>
        <sz val="10"/>
        <rFont val="Arial"/>
        <family val="2"/>
      </rPr>
      <t xml:space="preserve"> Compatible con HDR 10. 
</t>
    </r>
    <r>
      <rPr>
        <b/>
        <sz val="10"/>
        <rFont val="Arial"/>
        <family val="2"/>
      </rPr>
      <t>Conectividad:</t>
    </r>
    <r>
      <rPr>
        <sz val="10"/>
        <rFont val="Arial"/>
        <family val="2"/>
      </rPr>
      <t xml:space="preserve"> 1x D-Sub, 1x HDMI. 
</t>
    </r>
    <r>
      <rPr>
        <b/>
        <sz val="10"/>
        <rFont val="Arial"/>
        <family val="2"/>
      </rPr>
      <t>Diseño:</t>
    </r>
    <r>
      <rPr>
        <sz val="10"/>
        <rFont val="Arial"/>
        <family val="2"/>
      </rPr>
      <t xml:space="preserve"> Ajuste de ladeo, 492.5 x 378.4 x 200.8 mm, 2.3 Kg.</t>
    </r>
  </si>
  <si>
    <r>
      <rPr>
        <b/>
        <sz val="10"/>
        <rFont val="Arial"/>
        <family val="2"/>
      </rPr>
      <t>Tax ID (EE.UU.):</t>
    </r>
    <r>
      <rPr>
        <sz val="10"/>
        <rFont val="Arial"/>
        <family val="2"/>
      </rPr>
      <t xml:space="preserve"> 91‑1646860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410 Terry Ave N, Seattle, WA 98109, United States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+1 (206) 266‑1000</t>
    </r>
  </si>
  <si>
    <r>
      <t xml:space="preserve">Marca/Serie: </t>
    </r>
    <r>
      <rPr>
        <sz val="10"/>
        <color rgb="FF333333"/>
        <rFont val="Arial"/>
        <family val="2"/>
      </rPr>
      <t>Dell Optiplex 3060 (PC)</t>
    </r>
    <r>
      <rPr>
        <b/>
        <sz val="10"/>
        <color rgb="FF333333"/>
        <rFont val="Arial"/>
        <family val="2"/>
      </rPr>
      <t xml:space="preserve">
Procesador: </t>
    </r>
    <r>
      <rPr>
        <sz val="10"/>
        <color rgb="FF333333"/>
        <rFont val="Arial"/>
        <family val="2"/>
      </rPr>
      <t>Intel Core i5-8500 (3.2 GHz, 6 núcleos)</t>
    </r>
    <r>
      <rPr>
        <b/>
        <sz val="10"/>
        <color rgb="FF333333"/>
        <rFont val="Arial"/>
        <family val="2"/>
      </rPr>
      <t xml:space="preserve">
RAM: </t>
    </r>
    <r>
      <rPr>
        <sz val="10"/>
        <color rgb="FF333333"/>
        <rFont val="Arial"/>
        <family val="2"/>
      </rPr>
      <t>32GB DDR4 (2666 MHz)</t>
    </r>
    <r>
      <rPr>
        <b/>
        <sz val="10"/>
        <color rgb="FF333333"/>
        <rFont val="Arial"/>
        <family val="2"/>
      </rPr>
      <t xml:space="preserve">
Almacenamiento: </t>
    </r>
    <r>
      <rPr>
        <sz val="10"/>
        <color rgb="FF333333"/>
        <rFont val="Arial"/>
        <family val="2"/>
      </rPr>
      <t>1 TB SSD</t>
    </r>
    <r>
      <rPr>
        <b/>
        <sz val="10"/>
        <color rgb="FF333333"/>
        <rFont val="Arial"/>
        <family val="2"/>
      </rPr>
      <t xml:space="preserve">
Gráficos: </t>
    </r>
    <r>
      <rPr>
        <sz val="10"/>
        <color rgb="FF333333"/>
        <rFont val="Arial"/>
        <family val="2"/>
      </rPr>
      <t>Intel HD Graphics 630 (Integrado)</t>
    </r>
    <r>
      <rPr>
        <b/>
        <sz val="10"/>
        <color rgb="FF333333"/>
        <rFont val="Arial"/>
        <family val="2"/>
      </rPr>
      <t xml:space="preserve">
Resolución de Pantalla: </t>
    </r>
    <r>
      <rPr>
        <sz val="10"/>
        <color rgb="FF333333"/>
        <rFont val="Arial"/>
        <family val="2"/>
      </rPr>
      <t>3840 x 2160</t>
    </r>
    <r>
      <rPr>
        <b/>
        <sz val="10"/>
        <color rgb="FF333333"/>
        <rFont val="Arial"/>
        <family val="2"/>
      </rPr>
      <t xml:space="preserve">
OS: </t>
    </r>
    <r>
      <rPr>
        <sz val="10"/>
        <color rgb="FF333333"/>
        <rFont val="Arial"/>
        <family val="2"/>
      </rPr>
      <t>Windows 11 Pro</t>
    </r>
    <r>
      <rPr>
        <b/>
        <sz val="10"/>
        <color rgb="FF333333"/>
        <rFont val="Arial"/>
        <family val="2"/>
      </rPr>
      <t xml:space="preserve">
Conectividad: </t>
    </r>
    <r>
      <rPr>
        <sz val="10"/>
        <color rgb="FF333333"/>
        <rFont val="Arial"/>
        <family val="2"/>
      </rPr>
      <t>Wi-Fi 802.11ax, 4x USB 2.0, 2x USB 3.0</t>
    </r>
  </si>
  <si>
    <r>
      <rPr>
        <b/>
        <sz val="10"/>
        <rFont val="Arial"/>
        <family val="2"/>
      </rPr>
      <t>NIT:</t>
    </r>
    <r>
      <rPr>
        <sz val="10"/>
        <rFont val="Arial"/>
        <family val="2"/>
      </rPr>
      <t xml:space="preserve"> 900.516.238‑3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Carrera 11 # 94A‑25, Bogotá D.C., Colombia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No publica línea fija directa (atención digital)</t>
    </r>
  </si>
  <si>
    <r>
      <rPr>
        <b/>
        <sz val="10"/>
        <color rgb="FF333333"/>
        <rFont val="Arial"/>
        <family val="2"/>
      </rPr>
      <t>Tipo:</t>
    </r>
    <r>
      <rPr>
        <sz val="10"/>
        <color rgb="FF333333"/>
        <rFont val="Arial"/>
        <family val="2"/>
      </rPr>
      <t xml:space="preserve"> Computador de Escritorio Janus Procesador: Intel Core i3-10105F    (4 núcleos, 4.3 GHz) 
</t>
    </r>
    <r>
      <rPr>
        <b/>
        <sz val="10"/>
        <color rgb="FF333333"/>
        <rFont val="Arial"/>
        <family val="2"/>
      </rPr>
      <t>RAM:</t>
    </r>
    <r>
      <rPr>
        <sz val="10"/>
        <color rgb="FF333333"/>
        <rFont val="Arial"/>
        <family val="2"/>
      </rPr>
      <t xml:space="preserve"> 8GB DDR4 (3200MHz, expandible a 64GB) 
</t>
    </r>
    <r>
      <rPr>
        <b/>
        <sz val="10"/>
        <color rgb="FF333333"/>
        <rFont val="Arial"/>
        <family val="2"/>
      </rPr>
      <t>Almacenamiento:</t>
    </r>
    <r>
      <rPr>
        <sz val="10"/>
        <color rgb="FF333333"/>
        <rFont val="Arial"/>
        <family val="2"/>
      </rPr>
      <t xml:space="preserve"> SSD 512GB 
</t>
    </r>
    <r>
      <rPr>
        <b/>
        <sz val="10"/>
        <color rgb="FF333333"/>
        <rFont val="Arial"/>
        <family val="2"/>
      </rPr>
      <t>Gráficos:</t>
    </r>
    <r>
      <rPr>
        <sz val="10"/>
        <color rgb="FF333333"/>
        <rFont val="Arial"/>
        <family val="2"/>
      </rPr>
      <t xml:space="preserve"> Tarjeta de video N210 1GB DDR3 
</t>
    </r>
    <r>
      <rPr>
        <b/>
        <sz val="10"/>
        <color rgb="FF333333"/>
        <rFont val="Arial"/>
        <family val="2"/>
      </rPr>
      <t>Incluye:</t>
    </r>
    <r>
      <rPr>
        <sz val="10"/>
        <color rgb="FF333333"/>
        <rFont val="Arial"/>
        <family val="2"/>
      </rPr>
      <t xml:space="preserve"> Monitor Full HD de 22", teclado y mouse inalámbricos.</t>
    </r>
  </si>
  <si>
    <r>
      <t xml:space="preserve">Tipo: </t>
    </r>
    <r>
      <rPr>
        <sz val="10"/>
        <color rgb="FF333333"/>
        <rFont val="Arial"/>
        <family val="2"/>
      </rPr>
      <t>Escritorio</t>
    </r>
    <r>
      <rPr>
        <b/>
        <sz val="10"/>
        <color rgb="FF333333"/>
        <rFont val="Arial"/>
        <family val="2"/>
      </rPr>
      <t xml:space="preserve"> 
Procesador: </t>
    </r>
    <r>
      <rPr>
        <sz val="10"/>
        <color rgb="FF333333"/>
        <rFont val="Arial"/>
        <family val="2"/>
      </rPr>
      <t xml:space="preserve">AMD Ryzen 5 5600GT (Hexa core, 4.6 GHz) 
</t>
    </r>
    <r>
      <rPr>
        <b/>
        <sz val="10"/>
        <color rgb="FF333333"/>
        <rFont val="Arial"/>
        <family val="2"/>
      </rPr>
      <t xml:space="preserve">RAM: </t>
    </r>
    <r>
      <rPr>
        <sz val="10"/>
        <color rgb="FF333333"/>
        <rFont val="Arial"/>
        <family val="2"/>
      </rPr>
      <t xml:space="preserve">16GB Almacenamiento: 512 GB </t>
    </r>
    <r>
      <rPr>
        <b/>
        <sz val="10"/>
        <color rgb="FF333333"/>
        <rFont val="Arial"/>
        <family val="2"/>
      </rPr>
      <t xml:space="preserve">
Gráficos: </t>
    </r>
    <r>
      <rPr>
        <sz val="10"/>
        <color rgb="FF333333"/>
        <rFont val="Arial"/>
        <family val="2"/>
      </rPr>
      <t>AMD Radeon Graphics (Integrada, 2GB)</t>
    </r>
    <r>
      <rPr>
        <b/>
        <sz val="10"/>
        <color rgb="FF333333"/>
        <rFont val="Arial"/>
        <family val="2"/>
      </rPr>
      <t xml:space="preserve"> 
OS: </t>
    </r>
    <r>
      <rPr>
        <sz val="10"/>
        <color rgb="FF333333"/>
        <rFont val="Arial"/>
        <family val="2"/>
      </rPr>
      <t xml:space="preserve">Windows 11 (versión de prueba) </t>
    </r>
  </si>
  <si>
    <r>
      <rPr>
        <b/>
        <sz val="10"/>
        <color rgb="FF333333"/>
        <rFont val="Arial"/>
        <family val="2"/>
      </rPr>
      <t>Genius con cable:</t>
    </r>
    <r>
      <rPr>
        <sz val="10"/>
        <color rgb="FF333333"/>
        <rFont val="Arial"/>
        <family val="2"/>
      </rPr>
      <t xml:space="preserve"> Sensor óptico 1000 DPI (control suave).   
</t>
    </r>
    <r>
      <rPr>
        <b/>
        <sz val="10"/>
        <color rgb="FF333333"/>
        <rFont val="Arial"/>
        <family val="2"/>
      </rPr>
      <t>Fácil:</t>
    </r>
    <r>
      <rPr>
        <sz val="10"/>
        <color rgb="FF333333"/>
        <rFont val="Arial"/>
        <family val="2"/>
      </rPr>
      <t xml:space="preserve"> Plug &amp; Play USB. 
</t>
    </r>
    <r>
      <rPr>
        <b/>
        <sz val="10"/>
        <color rgb="FF333333"/>
        <rFont val="Arial"/>
        <family val="2"/>
      </rPr>
      <t>Comodidad:</t>
    </r>
    <r>
      <rPr>
        <sz val="10"/>
        <color rgb="FF333333"/>
        <rFont val="Arial"/>
        <family val="2"/>
      </rPr>
      <t xml:space="preserve"> Diseño ergonómico. 
</t>
    </r>
    <r>
      <rPr>
        <b/>
        <sz val="10"/>
        <color rgb="FF333333"/>
        <rFont val="Arial"/>
        <family val="2"/>
      </rPr>
      <t xml:space="preserve">Duradero: </t>
    </r>
    <r>
      <rPr>
        <sz val="10"/>
        <color rgb="FF333333"/>
        <rFont val="Arial"/>
        <family val="2"/>
      </rPr>
      <t xml:space="preserve">Alta calidad Genius. 
</t>
    </r>
    <r>
      <rPr>
        <b/>
        <sz val="10"/>
        <color rgb="FF333333"/>
        <rFont val="Arial"/>
        <family val="2"/>
      </rPr>
      <t>Compatibilidad:</t>
    </r>
    <r>
      <rPr>
        <sz val="10"/>
        <color rgb="FF333333"/>
        <rFont val="Arial"/>
        <family val="2"/>
      </rPr>
      <t xml:space="preserve"> Windows y macOS.</t>
    </r>
  </si>
  <si>
    <r>
      <rPr>
        <b/>
        <sz val="10"/>
        <color rgb="FF333333"/>
        <rFont val="Arial"/>
        <family val="2"/>
      </rPr>
      <t>TECKNET con cable:</t>
    </r>
    <r>
      <rPr>
        <sz val="10"/>
        <color rgb="FF333333"/>
        <rFont val="Arial"/>
        <family val="2"/>
      </rPr>
      <t xml:space="preserve"> Precisión Tru-Wave (funciona en vidrio), 6 millones de clics de durabilidad.
</t>
    </r>
    <r>
      <rPr>
        <b/>
        <sz val="10"/>
        <color rgb="FF333333"/>
        <rFont val="Arial"/>
        <family val="2"/>
      </rPr>
      <t>Ajustable:</t>
    </r>
    <r>
      <rPr>
        <sz val="10"/>
        <color rgb="FF333333"/>
        <rFont val="Arial"/>
        <family val="2"/>
      </rPr>
      <t xml:space="preserve"> 4 DPI (1000-6400), 6 botones programables.
</t>
    </r>
    <r>
      <rPr>
        <b/>
        <sz val="10"/>
        <color rgb="FF333333"/>
        <rFont val="Arial"/>
        <family val="2"/>
      </rPr>
      <t>Ergonómico:</t>
    </r>
    <r>
      <rPr>
        <sz val="10"/>
        <color rgb="FF333333"/>
        <rFont val="Arial"/>
        <family val="2"/>
      </rPr>
      <t xml:space="preserve"> Diseño cómodo, agarres de goma.
</t>
    </r>
    <r>
      <rPr>
        <b/>
        <sz val="10"/>
        <color rgb="FF333333"/>
        <rFont val="Arial"/>
        <family val="2"/>
      </rPr>
      <t>Plug &amp; Play:</t>
    </r>
    <r>
      <rPr>
        <sz val="10"/>
        <color rgb="FF333333"/>
        <rFont val="Arial"/>
        <family val="2"/>
      </rPr>
      <t xml:space="preserve"> USB, sin baterías, cable de 1.5m.
</t>
    </r>
    <r>
      <rPr>
        <b/>
        <sz val="10"/>
        <color rgb="FF333333"/>
        <rFont val="Arial"/>
        <family val="2"/>
      </rPr>
      <t>Compatibilidad:</t>
    </r>
    <r>
      <rPr>
        <sz val="10"/>
        <color rgb="FF333333"/>
        <rFont val="Arial"/>
        <family val="2"/>
      </rPr>
      <t xml:space="preserve"> Windows, Chromebook (botones laterales no en Mac).</t>
    </r>
  </si>
  <si>
    <r>
      <rPr>
        <b/>
        <sz val="10"/>
        <color theme="1"/>
        <rFont val="Arial"/>
        <family val="2"/>
      </rPr>
      <t>Registro:</t>
    </r>
    <r>
      <rPr>
        <sz val="10"/>
        <color theme="1"/>
        <rFont val="Arial"/>
        <family val="2"/>
      </rPr>
      <t xml:space="preserve"> CHE‑101.595.431 (Suiza)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Daniel Borel Innovation Center, CH‑1015 Lausanne, Switzerland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+41 21 863 55 11</t>
    </r>
  </si>
  <si>
    <r>
      <t xml:space="preserve">Logitech G (Gaming): </t>
    </r>
    <r>
      <rPr>
        <sz val="10"/>
        <color rgb="FF333333"/>
        <rFont val="Arial"/>
        <family val="2"/>
      </rPr>
      <t xml:space="preserve">Sensor ajustable 200-8000 DPI. </t>
    </r>
    <r>
      <rPr>
        <b/>
        <sz val="10"/>
        <color rgb="FF333333"/>
        <rFont val="Arial"/>
        <family val="2"/>
      </rPr>
      <t xml:space="preserve">
Personalización: </t>
    </r>
    <r>
      <rPr>
        <sz val="10"/>
        <color rgb="FF333333"/>
        <rFont val="Arial"/>
        <family val="2"/>
      </rPr>
      <t xml:space="preserve">Iluminación RGB LIGHTSYNC (16,8M colores), 6 botones programables (vía Logitech G HUB). </t>
    </r>
    <r>
      <rPr>
        <b/>
        <sz val="10"/>
        <color rgb="FF333333"/>
        <rFont val="Arial"/>
        <family val="2"/>
      </rPr>
      <t xml:space="preserve">
Rendimiento: </t>
    </r>
    <r>
      <rPr>
        <sz val="10"/>
        <color rgb="FF333333"/>
        <rFont val="Arial"/>
        <family val="2"/>
      </rPr>
      <t>Sistema de tensión de botones con resortes metálicos.</t>
    </r>
    <r>
      <rPr>
        <b/>
        <sz val="10"/>
        <color rgb="FF333333"/>
        <rFont val="Arial"/>
        <family val="2"/>
      </rPr>
      <t xml:space="preserve"> </t>
    </r>
  </si>
  <si>
    <t>Transferencia / Tarjeta</t>
  </si>
  <si>
    <t>Tarjeta</t>
  </si>
  <si>
    <t>Tarjeta / Transferencia / Contado</t>
  </si>
  <si>
    <t>CUADRO RESUMEN - FICHA TECNICA</t>
  </si>
  <si>
    <t>Cantidad</t>
  </si>
  <si>
    <t>Hardware</t>
  </si>
  <si>
    <t>Conectividad</t>
  </si>
  <si>
    <t>Servidores</t>
  </si>
  <si>
    <t>Recurso Humano</t>
  </si>
  <si>
    <t>Total General</t>
  </si>
  <si>
    <r>
      <rPr>
        <b/>
        <sz val="10"/>
        <color theme="1"/>
        <rFont val="Arial"/>
        <family val="2"/>
      </rPr>
      <t>Responsables:</t>
    </r>
    <r>
      <rPr>
        <sz val="10"/>
        <color theme="1"/>
        <rFont val="Arial"/>
      </rPr>
      <t xml:space="preserve"> Martín Cruz, Bayan Devia, Kevin Gónzalez, Jeison Diaz y Brandon Guevara                   </t>
    </r>
  </si>
  <si>
    <r>
      <rPr>
        <b/>
        <sz val="10"/>
        <color theme="1"/>
        <rFont val="Arial"/>
        <family val="2"/>
      </rPr>
      <t>Objetivos del analisis:</t>
    </r>
    <r>
      <rPr>
        <sz val="10"/>
        <color theme="1"/>
        <rFont val="Arial"/>
      </rPr>
      <t xml:space="preserve">    Determinar el costo total de la infraestructura requerida </t>
    </r>
  </si>
  <si>
    <t>Descripción</t>
  </si>
  <si>
    <t>Plan de Internet Claro 900Mbps Fibra Optica</t>
  </si>
  <si>
    <r>
      <rPr>
        <b/>
        <sz val="10"/>
        <color theme="1"/>
        <rFont val="Arial"/>
        <family val="2"/>
      </rPr>
      <t>Fecha:</t>
    </r>
    <r>
      <rPr>
        <sz val="10"/>
        <color theme="1"/>
        <rFont val="Arial"/>
      </rPr>
      <t xml:space="preserve">   05 / 04 / 2026</t>
    </r>
  </si>
  <si>
    <t>MercadoLibre</t>
  </si>
  <si>
    <t>Railway.app</t>
  </si>
  <si>
    <r>
      <rPr>
        <b/>
        <sz val="10"/>
        <color theme="1"/>
        <rFont val="Arial"/>
        <family val="2"/>
      </rPr>
      <t>Registro empresarial:</t>
    </r>
    <r>
      <rPr>
        <sz val="10"/>
        <color theme="1"/>
        <rFont val="Arial"/>
        <family val="2"/>
      </rPr>
      <t xml:space="preserve"> Railway Corp (US EIN)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548 Market St, San Francisco, CA 94104, USA.
</t>
    </r>
    <r>
      <rPr>
        <b/>
        <sz val="10"/>
        <color theme="1"/>
        <rFont val="Arial"/>
        <family val="2"/>
      </rPr>
      <t>Contacto:</t>
    </r>
    <r>
      <rPr>
        <sz val="10"/>
        <color theme="1"/>
        <rFont val="Arial"/>
        <family val="2"/>
      </rPr>
      <t xml:space="preserve"> team@railway.com</t>
    </r>
  </si>
  <si>
    <t>Oracle Cloud</t>
  </si>
  <si>
    <r>
      <rPr>
        <b/>
        <sz val="10"/>
        <color theme="1"/>
        <rFont val="Arial"/>
        <family val="2"/>
      </rPr>
      <t>Registro empresarial:</t>
    </r>
    <r>
      <rPr>
        <sz val="10"/>
        <color theme="1"/>
        <rFont val="Arial"/>
        <family val="2"/>
      </rPr>
      <t xml:space="preserve"> 800.103.052-1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Calle 127a # 53a - 45, Piso 9, Bogotá, Colombia.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(601) 611-9600</t>
    </r>
  </si>
  <si>
    <t>Infraestructura completa de computación en la nube (IaaS) que ofrece máquinas virtuales de alto rendimiento.</t>
  </si>
  <si>
    <t>La opción más robusta. Su capa gratuita "Always Free" es la más generosa del mercado, ideal para correr Java sin costos mensuales.</t>
  </si>
  <si>
    <t>Plataforma de despliegue automático (PaaS) que permite subir código desde GitHub y lo ejecuta al instante.</t>
  </si>
  <si>
    <t>Excelente para el Backend en Spring Boot. Es extremadamente fácil de configurar y el cobro es exacto por lo que consume la app.</t>
  </si>
  <si>
    <t>Supabase</t>
  </si>
  <si>
    <t>Backend como servicio (BaaS) enfocado en bases de datos PostgreSQL con autenticación y almacenamiento de archivos.</t>
  </si>
  <si>
    <t>La mejor alternativa para gestionar usuarios y roles. Su panel de control facilita la administración de datos sin saber SQL avanzado.</t>
  </si>
  <si>
    <t>Render</t>
  </si>
  <si>
    <t>Servicio de hosting para aplicaciones modernas, bases de datos y sitios estáticos con despliegue continuo.</t>
  </si>
  <si>
    <t>Interfaz muy intuitiva para equipos que empiezan. El plan gratuito es funcional, aunque el servidor entra en reposo si no hay tráfico.</t>
  </si>
  <si>
    <r>
      <rPr>
        <b/>
        <sz val="10"/>
        <color theme="1"/>
        <rFont val="Arial"/>
        <family val="2"/>
      </rPr>
      <t>Registro empresarial:</t>
    </r>
    <r>
      <rPr>
        <sz val="10"/>
        <color theme="1"/>
        <rFont val="Arial"/>
        <family val="2"/>
      </rPr>
      <t xml:space="preserve"> Render Services, Inc.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525 Brannan St, Suite 300, San Francisco, CA 94107, USA.
</t>
    </r>
    <r>
      <rPr>
        <b/>
        <sz val="10"/>
        <color theme="1"/>
        <rFont val="Arial"/>
        <family val="2"/>
      </rPr>
      <t>Contacto:</t>
    </r>
    <r>
      <rPr>
        <sz val="10"/>
        <color theme="1"/>
        <rFont val="Arial"/>
        <family val="2"/>
      </rPr>
      <t xml:space="preserve"> support@render.com</t>
    </r>
  </si>
  <si>
    <r>
      <rPr>
        <b/>
        <sz val="10"/>
        <color theme="1"/>
        <rFont val="Arial"/>
        <family val="2"/>
      </rPr>
      <t xml:space="preserve">Registro empresarial: </t>
    </r>
    <r>
      <rPr>
        <sz val="10"/>
        <color theme="1"/>
        <rFont val="Arial"/>
        <family val="2"/>
      </rPr>
      <t xml:space="preserve">Supabase Inc. (US EIN)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548 Market St, San Francisco, CA 94104, USA.
</t>
    </r>
    <r>
      <rPr>
        <b/>
        <sz val="10"/>
        <color theme="1"/>
        <rFont val="Arial"/>
        <family val="2"/>
      </rPr>
      <t>Contacto:</t>
    </r>
    <r>
      <rPr>
        <sz val="10"/>
        <color theme="1"/>
        <rFont val="Arial"/>
        <family val="2"/>
      </rPr>
      <t xml:space="preserve"> support@supabase.io</t>
    </r>
  </si>
  <si>
    <t>Aiven.io</t>
  </si>
  <si>
    <t>Neon.tech</t>
  </si>
  <si>
    <r>
      <rPr>
        <b/>
        <sz val="10"/>
        <color theme="1"/>
        <rFont val="Arial"/>
        <family val="2"/>
      </rPr>
      <t>Registro empresarial:</t>
    </r>
    <r>
      <rPr>
        <sz val="10"/>
        <color theme="1"/>
        <rFont val="Arial"/>
        <family val="2"/>
      </rPr>
      <t xml:space="preserve"> Neon, Inc.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160 Spear St, 15th Floor, San Francisco, CA 94105, USA.
</t>
    </r>
    <r>
      <rPr>
        <b/>
        <sz val="10"/>
        <color theme="1"/>
        <rFont val="Arial"/>
        <family val="2"/>
      </rPr>
      <t>Contacto:</t>
    </r>
    <r>
      <rPr>
        <sz val="10"/>
        <color theme="1"/>
        <rFont val="Arial"/>
        <family val="2"/>
      </rPr>
      <t xml:space="preserve"> info@neon.tech</t>
    </r>
  </si>
  <si>
    <t>Base de datos PostgreSQL "serverless" diseñada para escalar automáticamente según la demanda de la aplicación.</t>
  </si>
  <si>
    <t>Permite crear "ramas" de la base de datos para pruebas. Muy económico porque solo cobra cuando se realizan consultas activas.</t>
  </si>
  <si>
    <t>Servicio gestionado de bases de datos de código abierto (MySQL, PostgreSQL, Redis) en múltiples nubes.</t>
  </si>
  <si>
    <t>Muy profesional y estable. Es la opción ideal si se requiere un motor de base de datos MySQL puro con alta disponibilidad y backups.</t>
  </si>
  <si>
    <r>
      <rPr>
        <b/>
        <sz val="10"/>
        <color theme="1"/>
        <rFont val="Arial"/>
        <family val="2"/>
      </rPr>
      <t>Registro empresarial:</t>
    </r>
    <r>
      <rPr>
        <sz val="10"/>
        <color theme="1"/>
        <rFont val="Arial"/>
        <family val="2"/>
      </rPr>
      <t xml:space="preserve"> Aiven Oy (Finlandia)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Antinkatu 1, 00100 Helsinki, Finlandia.
</t>
    </r>
    <r>
      <rPr>
        <b/>
        <sz val="10"/>
        <color theme="1"/>
        <rFont val="Arial"/>
        <family val="2"/>
      </rPr>
      <t>Contacto:</t>
    </r>
    <r>
      <rPr>
        <sz val="10"/>
        <color theme="1"/>
        <rFont val="Arial"/>
        <family val="2"/>
      </rPr>
      <t xml:space="preserve"> contact@aiven.io</t>
    </r>
  </si>
  <si>
    <t>Teclado Antelope Conexión Usb Plug And Play, Tj-818 Negro</t>
  </si>
  <si>
    <t>GitHub Pages</t>
  </si>
  <si>
    <t>Vercel</t>
  </si>
  <si>
    <t>Netlify</t>
  </si>
  <si>
    <r>
      <rPr>
        <b/>
        <sz val="10"/>
        <color theme="1"/>
        <rFont val="Arial"/>
        <family val="2"/>
      </rPr>
      <t>Registro empresarial:</t>
    </r>
    <r>
      <rPr>
        <sz val="10"/>
        <color theme="1"/>
        <rFont val="Arial"/>
        <family val="2"/>
      </rPr>
      <t xml:space="preserve"> Netlify, Inc.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101 2nd St, San Francisco, CA 94105, USA.
</t>
    </r>
    <r>
      <rPr>
        <b/>
        <sz val="10"/>
        <color theme="1"/>
        <rFont val="Arial"/>
        <family val="2"/>
      </rPr>
      <t>Contacto:</t>
    </r>
    <r>
      <rPr>
        <sz val="10"/>
        <color theme="1"/>
        <rFont val="Arial"/>
        <family val="2"/>
      </rPr>
      <t xml:space="preserve"> support@netlify.com</t>
    </r>
  </si>
  <si>
    <r>
      <rPr>
        <b/>
        <sz val="10"/>
        <color theme="1"/>
        <rFont val="Arial"/>
        <family val="2"/>
      </rPr>
      <t>Registro empresarial:</t>
    </r>
    <r>
      <rPr>
        <sz val="10"/>
        <color theme="1"/>
        <rFont val="Arial"/>
        <family val="2"/>
      </rPr>
      <t xml:space="preserve"> Vercel Inc. (US EIN)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340 S Lemon Ave #4133, Walnut, CA 91789, USA.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(559) 288-7060</t>
    </r>
  </si>
  <si>
    <r>
      <rPr>
        <b/>
        <sz val="10"/>
        <color theme="1"/>
        <rFont val="Arial"/>
        <family val="2"/>
      </rPr>
      <t xml:space="preserve">Registro empresarial: </t>
    </r>
    <r>
      <rPr>
        <sz val="10"/>
        <color theme="1"/>
        <rFont val="Arial"/>
        <family val="2"/>
      </rPr>
      <t xml:space="preserve">800.198.591-3
</t>
    </r>
    <r>
      <rPr>
        <b/>
        <sz val="10"/>
        <color theme="1"/>
        <rFont val="Arial"/>
        <family val="2"/>
      </rPr>
      <t xml:space="preserve">Dirección: </t>
    </r>
    <r>
      <rPr>
        <sz val="10"/>
        <color theme="1"/>
        <rFont val="Arial"/>
        <family val="2"/>
      </rPr>
      <t xml:space="preserve">Calle 92 # 11-51, Piso 10, Bogotá, Colombia.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(601) 326-4700</t>
    </r>
  </si>
  <si>
    <t>Servicio de hosting estático que permite publicar sitios web directamente desde un repositorio de GitHub.</t>
  </si>
  <si>
    <t>Costo $0. Es la opción lógica para el Frontend (HTML/CSS) mientras el proyecto está en fase de desarrollo o pruebas de concepto.</t>
  </si>
  <si>
    <t>Plataforma optimizada para el despliegue de interfaces web con alta velocidad de carga y certificados SSL automáticos.</t>
  </si>
  <si>
    <t>Ofrece la mejor velocidad de carga para el usuario final. Se integra perfectamente con cualquier cambio que hagan en el código del Frontend.</t>
  </si>
  <si>
    <t>Hosting para sitios web estáticos que incluye funciones automáticas como manejo de formularios y gestión de dominios.</t>
  </si>
  <si>
    <t>Muy completo para equipos pequeños. Incluye herramientas de previsualización que permiten ver los cambios antes de publicarlos oficialmente.</t>
  </si>
  <si>
    <t>Teclado ESENSES Alámbrico BK-108 Negro</t>
  </si>
  <si>
    <t>Teclado Alambrico Maxell  KB-90 Basic</t>
  </si>
  <si>
    <r>
      <rPr>
        <b/>
        <sz val="10"/>
        <rFont val="Arial"/>
        <family val="2"/>
      </rPr>
      <t xml:space="preserve">NIT: </t>
    </r>
    <r>
      <rPr>
        <sz val="10"/>
        <rFont val="Arial"/>
        <family val="2"/>
      </rPr>
      <t xml:space="preserve">830.067.380-3
</t>
    </r>
    <r>
      <rPr>
        <b/>
        <sz val="10"/>
        <rFont val="Arial"/>
        <family val="2"/>
      </rPr>
      <t xml:space="preserve">Dirección: </t>
    </r>
    <r>
      <rPr>
        <sz val="10"/>
        <rFont val="Arial"/>
        <family val="2"/>
      </rPr>
      <t xml:space="preserve">Carrera 17 # 93 - 09, Piso 3
</t>
    </r>
    <r>
      <rPr>
        <b/>
        <sz val="10"/>
        <rFont val="Arial"/>
        <family val="2"/>
      </rPr>
      <t xml:space="preserve">Teléfono: </t>
    </r>
    <r>
      <rPr>
        <sz val="10"/>
        <rFont val="Arial"/>
        <family val="2"/>
      </rPr>
      <t>(601) 743-2961</t>
    </r>
  </si>
  <si>
    <r>
      <rPr>
        <b/>
        <sz val="10"/>
        <rFont val="Arial"/>
        <family val="2"/>
      </rPr>
      <t xml:space="preserve">NIT: </t>
    </r>
    <r>
      <rPr>
        <sz val="10"/>
        <rFont val="Arial"/>
        <family val="2"/>
      </rPr>
      <t xml:space="preserve">890.900.943-1
</t>
    </r>
    <r>
      <rPr>
        <b/>
        <sz val="10"/>
        <rFont val="Arial"/>
        <family val="2"/>
      </rPr>
      <t xml:space="preserve">Dirección: </t>
    </r>
    <r>
      <rPr>
        <sz val="10"/>
        <rFont val="Arial"/>
        <family val="2"/>
      </rPr>
      <t xml:space="preserve">Carrera 68 # 72 - 39
</t>
    </r>
    <r>
      <rPr>
        <b/>
        <sz val="10"/>
        <rFont val="Arial"/>
        <family val="2"/>
      </rPr>
      <t xml:space="preserve">Teléfono: </t>
    </r>
    <r>
      <rPr>
        <sz val="10"/>
        <rFont val="Arial"/>
        <family val="2"/>
      </rPr>
      <t>(601) 407-3033</t>
    </r>
  </si>
  <si>
    <r>
      <rPr>
        <b/>
        <sz val="10"/>
        <rFont val="Arial"/>
        <family val="2"/>
      </rPr>
      <t xml:space="preserve">NIT: </t>
    </r>
    <r>
      <rPr>
        <sz val="10"/>
        <rFont val="Arial"/>
        <family val="2"/>
      </rPr>
      <t xml:space="preserve">900.017.302-1
</t>
    </r>
    <r>
      <rPr>
        <b/>
        <sz val="10"/>
        <rFont val="Arial"/>
        <family val="2"/>
      </rPr>
      <t xml:space="preserve">Dirección: </t>
    </r>
    <r>
      <rPr>
        <sz val="10"/>
        <rFont val="Arial"/>
        <family val="2"/>
      </rPr>
      <t xml:space="preserve">Avenida Carrera 68 # 80 - 77
</t>
    </r>
    <r>
      <rPr>
        <b/>
        <sz val="10"/>
        <rFont val="Arial"/>
        <family val="2"/>
      </rPr>
      <t xml:space="preserve">Teléfono: </t>
    </r>
    <r>
      <rPr>
        <sz val="10"/>
        <rFont val="Arial"/>
        <family val="2"/>
      </rPr>
      <t>(601) 587-8002</t>
    </r>
  </si>
  <si>
    <r>
      <rPr>
        <b/>
        <sz val="10"/>
        <color rgb="FF333333"/>
        <rFont val="Arial"/>
        <family val="2"/>
      </rPr>
      <t>Durabilidad:</t>
    </r>
    <r>
      <rPr>
        <sz val="10"/>
        <color rgb="FF333333"/>
        <rFont val="Arial"/>
        <family val="2"/>
      </rPr>
      <t xml:space="preserve"> Es una marca japonesa reconocida por su resistencia en entornos de oficina y largas jornadas de escritura de documentación.</t>
    </r>
  </si>
  <si>
    <r>
      <rPr>
        <b/>
        <sz val="10"/>
        <color rgb="FF333333"/>
        <rFont val="Arial"/>
        <family val="2"/>
      </rPr>
      <t>Enfoque en Digitación:</t>
    </r>
    <r>
      <rPr>
        <sz val="10"/>
        <color rgb="FF333333"/>
        <rFont val="Arial"/>
        <family val="2"/>
      </rPr>
      <t xml:space="preserve"> Al tener teclas multimedia, facilita el flujo de trabajo y cambios rápidos entre ventanas de código y música/reuniones.</t>
    </r>
  </si>
  <si>
    <r>
      <rPr>
        <b/>
        <sz val="10"/>
        <color rgb="FF333333"/>
        <rFont val="Arial"/>
        <family val="2"/>
      </rPr>
      <t>Idioma Inglés US:</t>
    </r>
    <r>
      <rPr>
        <sz val="10"/>
        <color rgb="FF333333"/>
        <rFont val="Arial"/>
        <family val="2"/>
      </rPr>
      <t xml:space="preserve"> Es el preferido para programar (Backend/Java) porque los símbolos como { } [ ] / ; están a un solo clic.</t>
    </r>
  </si>
  <si>
    <t>2.  Dell Optiplex 3060 Computadora de escritorio | Intel i5-8500 (3.2) | 32GB DDR4 RAM |1TB SSD de estado sólido | WiFi integrado | Bluetooth | Windows 11 Professional</t>
  </si>
  <si>
    <t>3.  Monitor Philips 221V8LB (22", Full HD, 100Hz): Delgado, VESA, HDMI/VGA,
 LowBlue, Adaptive Sync.</t>
  </si>
  <si>
    <t>1.  Mouse Genius DX-101 Óptico USB 1000 DPI Negro - Ergonómico</t>
  </si>
  <si>
    <t>4. Teclado Antelope Conexión Usb Plug And Play, Tj-818 Negro</t>
  </si>
  <si>
    <r>
      <t xml:space="preserve">Informacion general:     </t>
    </r>
    <r>
      <rPr>
        <sz val="10"/>
        <color theme="1"/>
        <rFont val="Arial"/>
        <family val="2"/>
      </rPr>
      <t>Este documento corresponde al cuadro resumen y ficha técnica del proyecto Panify, en el cual se presentan los 
                                      diferentes recursos necesarios para su desarrollo, incluyendo hardware, software, conectividad, servidores y talento humano.</t>
    </r>
  </si>
  <si>
    <t>RESUMEN POR CATEGORÍA</t>
  </si>
  <si>
    <t>Categoría</t>
  </si>
  <si>
    <t>Costo Unitario</t>
  </si>
  <si>
    <t>Costo Total</t>
  </si>
  <si>
    <t>1. Analista de Requerimientos</t>
  </si>
  <si>
    <t>2. Diseñador UI/UX</t>
  </si>
  <si>
    <t>3. Desarrollador Frontend</t>
  </si>
  <si>
    <t>4. Desarrollador Backend</t>
  </si>
  <si>
    <t>5. Tester</t>
  </si>
  <si>
    <r>
      <rPr>
        <b/>
        <sz val="10"/>
        <color theme="1"/>
        <rFont val="Arial"/>
        <family val="2"/>
      </rPr>
      <t>Nombre del proyecto:</t>
    </r>
    <r>
      <rPr>
        <sz val="10"/>
        <color theme="1"/>
        <rFont val="Arial"/>
      </rPr>
      <t xml:space="preserve">    Panify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</si>
</sst>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333333"/>
      <name val="Times New Roman"/>
      <family val="1"/>
    </font>
    <font>
      <b/>
      <sz val="10"/>
      <color rgb="FF333333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0"/>
      <color rgb="FF0F1111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444444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u/>
      <sz val="10"/>
      <color theme="7" tint="-0.249977111117893"/>
      <name val="Arial"/>
      <family val="2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color theme="1"/>
      <name val="Arial"/>
    </font>
    <font>
      <sz val="11"/>
      <color theme="1"/>
      <name val="Cambria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06">
    <xf numFmtId="0" fontId="0" fillId="0" borderId="0" xfId="0"/>
    <xf numFmtId="44" fontId="0" fillId="0" borderId="0" xfId="0" applyNumberFormat="1"/>
    <xf numFmtId="44" fontId="0" fillId="0" borderId="0" xfId="1" applyNumberFormat="1" applyFont="1"/>
    <xf numFmtId="0" fontId="0" fillId="0" borderId="0" xfId="0" applyBorder="1"/>
    <xf numFmtId="44" fontId="2" fillId="2" borderId="0" xfId="1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4" fontId="3" fillId="0" borderId="0" xfId="1" applyFont="1" applyBorder="1" applyAlignment="1">
      <alignment horizontal="center" vertical="center" wrapText="1"/>
    </xf>
    <xf numFmtId="44" fontId="3" fillId="0" borderId="0" xfId="1" applyNumberFormat="1" applyFont="1" applyBorder="1" applyAlignment="1">
      <alignment horizontal="center" vertical="center" wrapText="1"/>
    </xf>
    <xf numFmtId="8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4" fontId="8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4" fontId="10" fillId="2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44" fontId="10" fillId="5" borderId="1" xfId="1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44" fontId="8" fillId="0" borderId="1" xfId="1" applyFont="1" applyBorder="1" applyAlignment="1">
      <alignment horizontal="center" vertical="center" wrapText="1"/>
    </xf>
    <xf numFmtId="44" fontId="8" fillId="0" borderId="1" xfId="1" applyNumberFormat="1" applyFont="1" applyBorder="1" applyAlignment="1">
      <alignment horizontal="center" vertical="center" wrapText="1"/>
    </xf>
    <xf numFmtId="8" fontId="8" fillId="0" borderId="1" xfId="0" applyNumberFormat="1" applyFont="1" applyBorder="1" applyAlignment="1">
      <alignment horizontal="center" vertical="center" wrapText="1"/>
    </xf>
    <xf numFmtId="8" fontId="14" fillId="0" borderId="1" xfId="2" applyNumberFormat="1" applyFont="1" applyBorder="1" applyAlignment="1">
      <alignment horizontal="center" vertical="center" wrapText="1"/>
    </xf>
    <xf numFmtId="8" fontId="15" fillId="0" borderId="1" xfId="2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44" fontId="13" fillId="0" borderId="1" xfId="1" applyNumberFormat="1" applyFont="1" applyBorder="1" applyAlignment="1">
      <alignment horizontal="center" vertical="center" wrapText="1"/>
    </xf>
    <xf numFmtId="44" fontId="13" fillId="0" borderId="1" xfId="1" applyFont="1" applyBorder="1" applyAlignment="1">
      <alignment horizontal="center" vertical="center" wrapText="1"/>
    </xf>
    <xf numFmtId="8" fontId="13" fillId="0" borderId="1" xfId="0" applyNumberFormat="1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44" fontId="13" fillId="0" borderId="1" xfId="0" applyNumberFormat="1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44" fontId="7" fillId="2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44" fontId="7" fillId="5" borderId="1" xfId="1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8" fontId="22" fillId="0" borderId="1" xfId="2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4" fillId="0" borderId="1" xfId="0" applyFont="1" applyBorder="1" applyAlignment="1">
      <alignment vertical="center"/>
    </xf>
    <xf numFmtId="0" fontId="27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0" fillId="11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13" fillId="11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0" fontId="28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24" fillId="0" borderId="1" xfId="1" applyFont="1" applyBorder="1" applyAlignment="1">
      <alignment horizontal="center" vertical="center"/>
    </xf>
    <xf numFmtId="44" fontId="26" fillId="0" borderId="1" xfId="1" applyFont="1" applyBorder="1" applyAlignment="1">
      <alignment horizontal="center" vertical="center"/>
    </xf>
    <xf numFmtId="8" fontId="6" fillId="0" borderId="1" xfId="2" applyNumberFormat="1" applyBorder="1" applyAlignment="1">
      <alignment horizontal="center" vertical="center" wrapText="1"/>
    </xf>
    <xf numFmtId="0" fontId="29" fillId="0" borderId="0" xfId="0" applyFont="1"/>
    <xf numFmtId="0" fontId="13" fillId="11" borderId="2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44" fontId="25" fillId="11" borderId="2" xfId="1" applyFont="1" applyFill="1" applyBorder="1" applyAlignment="1">
      <alignment horizontal="center" vertical="center" wrapText="1"/>
    </xf>
    <xf numFmtId="44" fontId="25" fillId="11" borderId="3" xfId="1" applyFont="1" applyFill="1" applyBorder="1" applyAlignment="1">
      <alignment horizontal="center" vertical="center" wrapText="1"/>
    </xf>
    <xf numFmtId="44" fontId="26" fillId="0" borderId="2" xfId="1" applyFont="1" applyBorder="1" applyAlignment="1">
      <alignment horizontal="center" vertical="center"/>
    </xf>
    <xf numFmtId="44" fontId="26" fillId="0" borderId="3" xfId="1" applyFont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5" fillId="11" borderId="5" xfId="0" applyFont="1" applyFill="1" applyBorder="1" applyAlignment="1">
      <alignment horizontal="center" vertical="center"/>
    </xf>
    <xf numFmtId="0" fontId="25" fillId="11" borderId="8" xfId="0" applyFont="1" applyFill="1" applyBorder="1" applyAlignment="1">
      <alignment horizontal="center" vertical="center"/>
    </xf>
    <xf numFmtId="0" fontId="25" fillId="11" borderId="9" xfId="0" applyFont="1" applyFill="1" applyBorder="1" applyAlignment="1">
      <alignment horizontal="center" vertical="center"/>
    </xf>
    <xf numFmtId="44" fontId="25" fillId="11" borderId="2" xfId="1" applyFont="1" applyFill="1" applyBorder="1" applyAlignment="1">
      <alignment horizontal="center" vertical="center"/>
    </xf>
    <xf numFmtId="44" fontId="25" fillId="11" borderId="3" xfId="1" applyFont="1" applyFill="1" applyBorder="1" applyAlignment="1">
      <alignment horizontal="center" vertical="center"/>
    </xf>
    <xf numFmtId="0" fontId="24" fillId="0" borderId="0" xfId="0" applyFont="1" applyBorder="1" applyAlignment="1">
      <alignment vertical="center"/>
    </xf>
    <xf numFmtId="0" fontId="10" fillId="11" borderId="2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5" fillId="11" borderId="6" xfId="0" applyFont="1" applyFill="1" applyBorder="1" applyAlignment="1">
      <alignment horizontal="center" vertical="center"/>
    </xf>
    <xf numFmtId="0" fontId="25" fillId="11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8" fillId="0" borderId="0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 wrapText="1"/>
    </xf>
    <xf numFmtId="44" fontId="8" fillId="0" borderId="3" xfId="0" applyNumberFormat="1" applyFont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labella.com.co/falabella-co/product/146462118/Computador-Gamer-Ryzen-5-5600GT-RAM-16GB-SSD-512GB-Board-A520-COMBO-GAMER/146462119" TargetMode="External"/><Relationship Id="rId2" Type="http://schemas.openxmlformats.org/officeDocument/2006/relationships/hyperlink" Target="https://www.amazon.com/-/es/Dell-3060-Computadora-escritorio-Professional/dp/B0CKTM52YC/ref=sr_1_2?crid=23LIFMAXMJLXK&amp;dib=eyJ2IjoiMSJ9.Y0fa0nF02_gqNa2F9acGAOeOKRlYb2rpwmjjI4mN1JBfGF0Qmo-vq_0KaKq5V1lvxjw7hYNTFC4B4h2-lD3hWUpZtaTDlik3oqj1qut5HbUr4O_kUmO54ez8gQVK1LNDXNqhJsYEJu3w4njsLI_tgXCS8-F2Qk_j3sETZRvY97sH0JoJGr9002F6TYPrt0CBN-nSrPRmCFz4xwpHhgTnoMt3XE-sW0dmLkFRlSDqeTA.ZFJzPhUnoTWuds6D1tJyDUi78ypCNcyAgMavJ-s4Mio&amp;dib_tag=se&amp;keywords=computadoras%2Bde%2Bescritorio&amp;qid=1772057109&amp;sprefix=computador%2Caps%2C158&amp;sr=8-2&amp;th=1" TargetMode="External"/><Relationship Id="rId1" Type="http://schemas.openxmlformats.org/officeDocument/2006/relationships/hyperlink" Target="https://www.falabella.com.co/falabella-co/product/119290348/COMPUTADOR-DE-ESCRITORIO-PROCESADOR-I3-10105F-SSD-512GB-MONITOR-22/11929035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ogitechstore.com.co/collections/mouse-office/products/mco-2425760826-mouse-usb-con-cable-logitech-m90-comodo-diseno-ambidiestro-jm" TargetMode="External"/><Relationship Id="rId2" Type="http://schemas.openxmlformats.org/officeDocument/2006/relationships/hyperlink" Target="https://www.falabella.com.co/falabella-co/product/151741128/mouse-genius-dx-101-optico-usb-1000-dpi-negro-ergonomico/151741129" TargetMode="External"/><Relationship Id="rId1" Type="http://schemas.openxmlformats.org/officeDocument/2006/relationships/hyperlink" Target="https://www.amazon.com/-/es/ergon%C3%B3mico-al%C3%A1mbrico-TeckNet-botones-2000DPI/dp/B01BC4TXXC/ref=sr_1_5?crid=BSACHB1V958T&amp;dib=eyJ2IjoiMSJ9.LS5nOEJvdSE8DdMWkn3Nu5ZN4zoF-FBOu4jAIa2YRF0kRZR0Y9-d4go1HtMpauIukHr3kc2Q06alPcHbvGyA276oGaDzQIWXjEC9OWC5CfXiUQfKEEj6VOXMSv_WbPHKXXOFGwbgSoj4HtSmhLRZwnC9F0GXWjTwohLuawgc5h7XOZGwhbOsNO-ixSmiuTSZneRxpZKXrkj0J1e195axMsh2vmyuiGrbL5tcIlAzzQo.54dKHUaFIfhYRRxN8C-LhOfXzEOvTQx7UsJPDlZiQ9Q&amp;dib_tag=se&amp;keywords=mouse%2Boffice&amp;qid=1772050957&amp;sprefix=mouse%2Boff%2Caps%2C161&amp;sr=8-5&amp;th=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labella.com.co/falabella-co/product/129554062/TECLADO-ALAMBRICO-MAXELL-KB-90-BASICO/129554064" TargetMode="External"/><Relationship Id="rId2" Type="http://schemas.openxmlformats.org/officeDocument/2006/relationships/hyperlink" Target="https://www.mercadolibre.com.co/teclado-antelope-conexion-usb-plug-and-play-tj-818-negro/p/MCO47785330" TargetMode="External"/><Relationship Id="rId1" Type="http://schemas.openxmlformats.org/officeDocument/2006/relationships/hyperlink" Target="https://www.alkosto.com/teclado-esenses-alambrico-bk-108-negro/p/7707409109916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labella.com.co/falabella-co/product/149536835/Monitor-LG-22U401A-B-21.5-Fhd-Amd-Freesync-100hz-5ms/149536836" TargetMode="External"/><Relationship Id="rId2" Type="http://schemas.openxmlformats.org/officeDocument/2006/relationships/hyperlink" Target="https://www.amazon.com/-/es/Philips-221V8LB-frecuencia-actualizaci%C3%B3n-sincronizaci%C3%B3n/dp/B0CVM2GJCN/ref=sr_1_4?__mk_es_US=%C3%85M%C3%85%C5%BD%C3%95%C3%91&amp;crid=2YH5O3NTMFDD5&amp;dib=eyJ2IjoiMSJ9.HTyX823xUKGbbWcy5RBXDHSYdMFnFUxAj7RyiXAsCu4S20eildHI5Bw7ZRoJICwiDpvwvBU3nYsbmFJGoOoe-5ffqoTY-jg-sTAyLpoPd-korXv7g0h5m6cgsvLtuiNOpNW9t-YOLSJcLIvNAsyJeM6p9WTBmS1rBRUmf3JxeHc8bFdNZC_-vLOIxA0DlB5hu0w-B9axCLobiSp_dtBBtdXPRo7uSctsjQjb-1ejM1s.LUX2Jk7HnDkAsaefOwpOE9aJHs9aVOQiq1qGqoFIc7U&amp;dib_tag=se&amp;keywords=monitor&amp;qid=1772057886&amp;sprefix=moni%2Caps%2C183&amp;sr=8-4" TargetMode="External"/><Relationship Id="rId1" Type="http://schemas.openxmlformats.org/officeDocument/2006/relationships/hyperlink" Target="https://www.alkosto.com/monitor-kalley-22-pulgadas-k-m22fp-fhd-plano-negro/p/7705946476904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go.com.co/internet/planes" TargetMode="External"/><Relationship Id="rId2" Type="http://schemas.openxmlformats.org/officeDocument/2006/relationships/hyperlink" Target="https://www.claro.com.co/personas/servicios/servicios-hogar/internet/" TargetMode="External"/><Relationship Id="rId1" Type="http://schemas.openxmlformats.org/officeDocument/2006/relationships/hyperlink" Target="https://www.movistar.com.co/hogar/planes-internet-hoga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tlify.com/" TargetMode="External"/><Relationship Id="rId2" Type="http://schemas.openxmlformats.org/officeDocument/2006/relationships/hyperlink" Target="https://docs.github.com/es/pages" TargetMode="External"/><Relationship Id="rId1" Type="http://schemas.openxmlformats.org/officeDocument/2006/relationships/hyperlink" Target="https://vercel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neon.com/pricing" TargetMode="External"/><Relationship Id="rId2" Type="http://schemas.openxmlformats.org/officeDocument/2006/relationships/hyperlink" Target="https://supabase.com/" TargetMode="External"/><Relationship Id="rId1" Type="http://schemas.openxmlformats.org/officeDocument/2006/relationships/hyperlink" Target="https://aiven.io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railway.com/" TargetMode="External"/><Relationship Id="rId2" Type="http://schemas.openxmlformats.org/officeDocument/2006/relationships/hyperlink" Target="https://www.oracle.com/latam/cloud/" TargetMode="External"/><Relationship Id="rId1" Type="http://schemas.openxmlformats.org/officeDocument/2006/relationships/hyperlink" Target="https://render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"/>
  <sheetViews>
    <sheetView topLeftCell="B1" zoomScale="75" zoomScaleNormal="75" workbookViewId="0">
      <selection activeCell="G3" sqref="G3"/>
    </sheetView>
  </sheetViews>
  <sheetFormatPr baseColWidth="10" defaultRowHeight="15" x14ac:dyDescent="0.25"/>
  <cols>
    <col min="2" max="2" width="18.5703125" customWidth="1"/>
    <col min="4" max="4" width="49.85546875" customWidth="1"/>
    <col min="5" max="5" width="37.5703125" customWidth="1"/>
    <col min="6" max="6" width="15.5703125" bestFit="1" customWidth="1"/>
    <col min="7" max="7" width="15.140625" bestFit="1" customWidth="1"/>
    <col min="8" max="8" width="15" customWidth="1"/>
    <col min="9" max="9" width="14.42578125" bestFit="1" customWidth="1"/>
    <col min="11" max="11" width="56.140625" customWidth="1"/>
  </cols>
  <sheetData>
    <row r="2" spans="2:12" ht="51" x14ac:dyDescent="0.25">
      <c r="B2" s="21" t="s">
        <v>51</v>
      </c>
      <c r="C2" s="22" t="s">
        <v>0</v>
      </c>
      <c r="D2" s="22" t="s">
        <v>55</v>
      </c>
      <c r="E2" s="22" t="s">
        <v>59</v>
      </c>
      <c r="F2" s="23" t="s">
        <v>1</v>
      </c>
      <c r="G2" s="24" t="s">
        <v>52</v>
      </c>
      <c r="H2" s="25" t="s">
        <v>58</v>
      </c>
      <c r="I2" s="22" t="s">
        <v>2</v>
      </c>
      <c r="J2" s="22" t="s">
        <v>3</v>
      </c>
      <c r="K2" s="22" t="s">
        <v>4</v>
      </c>
      <c r="L2" s="26" t="s">
        <v>53</v>
      </c>
    </row>
    <row r="3" spans="2:12" ht="102" x14ac:dyDescent="0.25">
      <c r="B3" s="34" t="s">
        <v>13</v>
      </c>
      <c r="C3" s="34" t="s">
        <v>8</v>
      </c>
      <c r="D3" s="15" t="s">
        <v>75</v>
      </c>
      <c r="E3" s="41" t="s">
        <v>18</v>
      </c>
      <c r="F3" s="40">
        <v>1488970</v>
      </c>
      <c r="G3" s="37">
        <f>F3*0.19+F3</f>
        <v>1771874.3</v>
      </c>
      <c r="H3" s="36">
        <f>F3/3693</f>
        <v>403.18711075006769</v>
      </c>
      <c r="I3" s="38">
        <f>PRODUCT(H3*3690)</f>
        <v>1487760.4386677498</v>
      </c>
      <c r="J3" s="34" t="s">
        <v>84</v>
      </c>
      <c r="K3" s="42" t="s">
        <v>76</v>
      </c>
      <c r="L3" s="32" t="s">
        <v>54</v>
      </c>
    </row>
    <row r="4" spans="2:12" ht="76.5" x14ac:dyDescent="0.25">
      <c r="B4" s="34" t="s">
        <v>14</v>
      </c>
      <c r="C4" s="34" t="s">
        <v>16</v>
      </c>
      <c r="D4" s="15" t="s">
        <v>77</v>
      </c>
      <c r="E4" s="35" t="s">
        <v>17</v>
      </c>
      <c r="F4" s="36">
        <v>1900000</v>
      </c>
      <c r="G4" s="37">
        <f t="shared" ref="G4:G5" si="0">F4*0.19+F4</f>
        <v>2261000</v>
      </c>
      <c r="H4" s="36">
        <f>F4/3693</f>
        <v>514.48686704576221</v>
      </c>
      <c r="I4" s="38">
        <f>PRODUCT(H4*3690)</f>
        <v>1898456.5393988625</v>
      </c>
      <c r="J4" s="34" t="s">
        <v>84</v>
      </c>
      <c r="K4" s="39" t="s">
        <v>78</v>
      </c>
      <c r="L4" s="32" t="s">
        <v>54</v>
      </c>
    </row>
    <row r="5" spans="2:12" ht="63.75" x14ac:dyDescent="0.25">
      <c r="B5" s="34" t="s">
        <v>7</v>
      </c>
      <c r="C5" s="34" t="s">
        <v>12</v>
      </c>
      <c r="D5" s="28" t="s">
        <v>68</v>
      </c>
      <c r="E5" s="34" t="s">
        <v>15</v>
      </c>
      <c r="F5" s="40">
        <v>2900000</v>
      </c>
      <c r="G5" s="37">
        <f t="shared" si="0"/>
        <v>3451000</v>
      </c>
      <c r="H5" s="36">
        <f>F5/3693</f>
        <v>785.26942864879504</v>
      </c>
      <c r="I5" s="38">
        <f>PRODUCT(H5*3690)</f>
        <v>2897644.1917140535</v>
      </c>
      <c r="J5" s="34" t="s">
        <v>84</v>
      </c>
      <c r="K5" s="42" t="s">
        <v>79</v>
      </c>
      <c r="L5" s="32" t="s">
        <v>54</v>
      </c>
    </row>
  </sheetData>
  <hyperlinks>
    <hyperlink ref="L4" r:id="rId1" xr:uid="{00000000-0004-0000-0100-000000000000}"/>
    <hyperlink ref="L3" r:id="rId2" xr:uid="{00000000-0004-0000-0100-000001000000}"/>
    <hyperlink ref="L5" r:id="rId3" xr:uid="{00000000-0004-0000-01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"/>
  <sheetViews>
    <sheetView workbookViewId="0">
      <selection activeCell="G3" sqref="G3"/>
    </sheetView>
  </sheetViews>
  <sheetFormatPr baseColWidth="10" defaultRowHeight="15" x14ac:dyDescent="0.25"/>
  <cols>
    <col min="2" max="2" width="15.7109375" customWidth="1"/>
    <col min="3" max="3" width="16" customWidth="1"/>
    <col min="4" max="4" width="60.28515625" customWidth="1"/>
    <col min="5" max="5" width="34.5703125" customWidth="1"/>
    <col min="6" max="6" width="12.85546875" style="1" bestFit="1" customWidth="1"/>
    <col min="7" max="7" width="12.85546875" bestFit="1" customWidth="1"/>
    <col min="8" max="8" width="14.140625" style="2" customWidth="1"/>
    <col min="9" max="9" width="11.5703125" customWidth="1"/>
    <col min="10" max="10" width="13.140625" customWidth="1"/>
    <col min="11" max="11" width="63.42578125" customWidth="1"/>
  </cols>
  <sheetData>
    <row r="2" spans="2:12" ht="51" x14ac:dyDescent="0.25">
      <c r="B2" s="21" t="s">
        <v>51</v>
      </c>
      <c r="C2" s="22" t="s">
        <v>0</v>
      </c>
      <c r="D2" s="22" t="s">
        <v>56</v>
      </c>
      <c r="E2" s="22" t="s">
        <v>59</v>
      </c>
      <c r="F2" s="23" t="s">
        <v>1</v>
      </c>
      <c r="G2" s="24" t="s">
        <v>52</v>
      </c>
      <c r="H2" s="25" t="s">
        <v>58</v>
      </c>
      <c r="I2" s="22" t="s">
        <v>2</v>
      </c>
      <c r="J2" s="22" t="s">
        <v>3</v>
      </c>
      <c r="K2" s="22" t="s">
        <v>4</v>
      </c>
      <c r="L2" s="26" t="s">
        <v>53</v>
      </c>
    </row>
    <row r="3" spans="2:12" ht="63.75" x14ac:dyDescent="0.25">
      <c r="B3" s="34" t="s">
        <v>13</v>
      </c>
      <c r="C3" s="34" t="s">
        <v>12</v>
      </c>
      <c r="D3" s="28" t="s">
        <v>68</v>
      </c>
      <c r="E3" s="34" t="s">
        <v>9</v>
      </c>
      <c r="F3" s="40">
        <v>29000</v>
      </c>
      <c r="G3" s="37">
        <f>F3*0.19+F3</f>
        <v>34510</v>
      </c>
      <c r="H3" s="36">
        <f>F3/3693</f>
        <v>7.8526942864879503</v>
      </c>
      <c r="I3" s="38">
        <f>PRODUCT(H3*3690)</f>
        <v>28976.441917140535</v>
      </c>
      <c r="J3" s="34" t="s">
        <v>84</v>
      </c>
      <c r="K3" s="39" t="s">
        <v>80</v>
      </c>
      <c r="L3" s="33" t="s">
        <v>54</v>
      </c>
    </row>
    <row r="4" spans="2:12" ht="76.5" x14ac:dyDescent="0.25">
      <c r="B4" s="34" t="s">
        <v>14</v>
      </c>
      <c r="C4" s="34" t="s">
        <v>8</v>
      </c>
      <c r="D4" s="28" t="s">
        <v>67</v>
      </c>
      <c r="E4" s="35" t="s">
        <v>5</v>
      </c>
      <c r="F4" s="36">
        <v>40929.199999999997</v>
      </c>
      <c r="G4" s="37">
        <f t="shared" ref="G4:G5" si="0">F4*0.19+F4</f>
        <v>48705.748</v>
      </c>
      <c r="H4" s="36">
        <f>F4/3693</f>
        <v>11.082913620362849</v>
      </c>
      <c r="I4" s="38">
        <f>PRODUCT(H4*3690)</f>
        <v>40895.951259138914</v>
      </c>
      <c r="J4" s="34" t="s">
        <v>84</v>
      </c>
      <c r="K4" s="39" t="s">
        <v>81</v>
      </c>
      <c r="L4" s="33" t="s">
        <v>54</v>
      </c>
    </row>
    <row r="5" spans="2:12" ht="51" x14ac:dyDescent="0.25">
      <c r="B5" s="34" t="s">
        <v>7</v>
      </c>
      <c r="C5" s="34" t="s">
        <v>10</v>
      </c>
      <c r="D5" s="28" t="s">
        <v>82</v>
      </c>
      <c r="E5" s="41" t="s">
        <v>11</v>
      </c>
      <c r="F5" s="40">
        <v>120000</v>
      </c>
      <c r="G5" s="37">
        <f t="shared" si="0"/>
        <v>142800</v>
      </c>
      <c r="H5" s="36">
        <f>F5/3693</f>
        <v>32.49390739236393</v>
      </c>
      <c r="I5" s="38">
        <f>PRODUCT(H5*3690)</f>
        <v>119902.51827782291</v>
      </c>
      <c r="J5" s="34" t="s">
        <v>84</v>
      </c>
      <c r="K5" s="42" t="s">
        <v>83</v>
      </c>
      <c r="L5" s="33" t="s">
        <v>54</v>
      </c>
    </row>
  </sheetData>
  <hyperlinks>
    <hyperlink ref="L4" r:id="rId1" xr:uid="{00000000-0004-0000-0000-000000000000}"/>
    <hyperlink ref="L3" r:id="rId2" xr:uid="{00000000-0004-0000-0000-000001000000}"/>
    <hyperlink ref="L5" r:id="rId3" xr:uid="{00000000-0004-0000-0000-000002000000}"/>
  </hyperlink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2A03-DF93-4D41-9A23-0B70C3E2A5A0}">
  <dimension ref="B2:L5"/>
  <sheetViews>
    <sheetView topLeftCell="C1" zoomScale="77" zoomScaleNormal="77" workbookViewId="0">
      <selection activeCell="L5" sqref="L5"/>
    </sheetView>
  </sheetViews>
  <sheetFormatPr baseColWidth="10" defaultRowHeight="15" x14ac:dyDescent="0.25"/>
  <cols>
    <col min="2" max="2" width="18.28515625" customWidth="1"/>
    <col min="3" max="3" width="14.140625" customWidth="1"/>
    <col min="4" max="4" width="50.140625" customWidth="1"/>
    <col min="5" max="5" width="29.42578125" customWidth="1"/>
    <col min="6" max="6" width="15.140625" bestFit="1" customWidth="1"/>
    <col min="7" max="7" width="14.85546875" bestFit="1" customWidth="1"/>
    <col min="9" max="9" width="14" bestFit="1" customWidth="1"/>
    <col min="10" max="10" width="15" customWidth="1"/>
    <col min="11" max="11" width="54.85546875" customWidth="1"/>
  </cols>
  <sheetData>
    <row r="2" spans="2:12" ht="51" x14ac:dyDescent="0.25">
      <c r="B2" s="21" t="s">
        <v>51</v>
      </c>
      <c r="C2" s="22" t="s">
        <v>0</v>
      </c>
      <c r="D2" s="22" t="s">
        <v>55</v>
      </c>
      <c r="E2" s="22" t="s">
        <v>59</v>
      </c>
      <c r="F2" s="23" t="s">
        <v>1</v>
      </c>
      <c r="G2" s="24" t="s">
        <v>52</v>
      </c>
      <c r="H2" s="25" t="s">
        <v>58</v>
      </c>
      <c r="I2" s="22" t="s">
        <v>2</v>
      </c>
      <c r="J2" s="22" t="s">
        <v>3</v>
      </c>
      <c r="K2" s="22" t="s">
        <v>4</v>
      </c>
      <c r="L2" s="26" t="s">
        <v>53</v>
      </c>
    </row>
    <row r="3" spans="2:12" ht="38.25" x14ac:dyDescent="0.25">
      <c r="B3" s="34" t="s">
        <v>13</v>
      </c>
      <c r="C3" s="34" t="s">
        <v>99</v>
      </c>
      <c r="D3" s="15" t="s">
        <v>139</v>
      </c>
      <c r="E3" s="41" t="s">
        <v>124</v>
      </c>
      <c r="F3" s="40">
        <v>15801</v>
      </c>
      <c r="G3" s="37">
        <f>F3*0.19+F3</f>
        <v>18803.189999999999</v>
      </c>
      <c r="H3" s="36">
        <f>F3/3693</f>
        <v>4.2786352558895206</v>
      </c>
      <c r="I3" s="38">
        <f>PRODUCT(H3*3690)</f>
        <v>15788.164094232332</v>
      </c>
      <c r="J3" s="34" t="s">
        <v>84</v>
      </c>
      <c r="K3" s="39" t="s">
        <v>144</v>
      </c>
      <c r="L3" s="65" t="s">
        <v>54</v>
      </c>
    </row>
    <row r="4" spans="2:12" ht="38.25" x14ac:dyDescent="0.25">
      <c r="B4" s="34" t="s">
        <v>14</v>
      </c>
      <c r="C4" s="34" t="s">
        <v>20</v>
      </c>
      <c r="D4" s="15" t="s">
        <v>140</v>
      </c>
      <c r="E4" s="35" t="s">
        <v>137</v>
      </c>
      <c r="F4" s="36">
        <v>39900</v>
      </c>
      <c r="G4" s="37">
        <f t="shared" ref="G4:G5" si="0">F4*0.19+F4</f>
        <v>47481</v>
      </c>
      <c r="H4" s="36">
        <f>F4/3693</f>
        <v>10.804224207961008</v>
      </c>
      <c r="I4" s="38">
        <f>PRODUCT(H4*3690)</f>
        <v>39867.587327376117</v>
      </c>
      <c r="J4" s="34" t="s">
        <v>84</v>
      </c>
      <c r="K4" s="39" t="s">
        <v>143</v>
      </c>
      <c r="L4" s="65" t="s">
        <v>54</v>
      </c>
    </row>
    <row r="5" spans="2:12" ht="38.25" x14ac:dyDescent="0.25">
      <c r="B5" s="34" t="s">
        <v>7</v>
      </c>
      <c r="C5" s="34" t="s">
        <v>12</v>
      </c>
      <c r="D5" s="15" t="s">
        <v>141</v>
      </c>
      <c r="E5" s="34" t="s">
        <v>138</v>
      </c>
      <c r="F5" s="40">
        <v>43900</v>
      </c>
      <c r="G5" s="37">
        <f t="shared" si="0"/>
        <v>52241</v>
      </c>
      <c r="H5" s="36">
        <f>F5/3693</f>
        <v>11.887354454373138</v>
      </c>
      <c r="I5" s="38">
        <f>PRODUCT(H5*3690)</f>
        <v>43864.337936636883</v>
      </c>
      <c r="J5" s="34" t="s">
        <v>84</v>
      </c>
      <c r="K5" s="39" t="s">
        <v>142</v>
      </c>
      <c r="L5" s="65" t="s">
        <v>54</v>
      </c>
    </row>
  </sheetData>
  <hyperlinks>
    <hyperlink ref="L4" r:id="rId1" xr:uid="{21C6FBA4-4B0D-4ECA-90D6-1ABE35E14B9D}"/>
    <hyperlink ref="L3" r:id="rId2" location="polycard_client=search-desktop&amp;search_layout=grid&amp;position=8&amp;type=product&amp;tracking_id=72cedcb5-292e-4273-b540-cfd4cc372f12&amp;wid=MCO2848379762&amp;sid=search" xr:uid="{D4C3CDC4-5F5C-44CF-B133-91D1E97249AB}"/>
    <hyperlink ref="L5" r:id="rId3" xr:uid="{FF444ADC-325B-4DED-AD19-24D5035A83E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5"/>
  <sheetViews>
    <sheetView zoomScale="91" zoomScaleNormal="91" workbookViewId="0">
      <selection activeCell="G3" sqref="G3"/>
    </sheetView>
  </sheetViews>
  <sheetFormatPr baseColWidth="10" defaultRowHeight="15" x14ac:dyDescent="0.25"/>
  <cols>
    <col min="2" max="2" width="15" customWidth="1"/>
    <col min="4" max="4" width="55.140625" customWidth="1"/>
    <col min="5" max="5" width="24.5703125" customWidth="1"/>
    <col min="6" max="7" width="13.28515625" bestFit="1" customWidth="1"/>
    <col min="8" max="8" width="15.7109375" customWidth="1"/>
    <col min="9" max="9" width="12.42578125" bestFit="1" customWidth="1"/>
    <col min="11" max="11" width="68.5703125" customWidth="1"/>
    <col min="12" max="12" width="11.42578125" customWidth="1"/>
  </cols>
  <sheetData>
    <row r="2" spans="2:12" ht="51" x14ac:dyDescent="0.25">
      <c r="B2" s="43" t="s">
        <v>51</v>
      </c>
      <c r="C2" s="12" t="s">
        <v>0</v>
      </c>
      <c r="D2" s="12" t="s">
        <v>55</v>
      </c>
      <c r="E2" s="12" t="s">
        <v>59</v>
      </c>
      <c r="F2" s="44" t="s">
        <v>1</v>
      </c>
      <c r="G2" s="45" t="s">
        <v>52</v>
      </c>
      <c r="H2" s="46" t="s">
        <v>63</v>
      </c>
      <c r="I2" s="12" t="s">
        <v>2</v>
      </c>
      <c r="J2" s="12" t="s">
        <v>3</v>
      </c>
      <c r="K2" s="12" t="s">
        <v>4</v>
      </c>
      <c r="L2" s="26" t="s">
        <v>53</v>
      </c>
    </row>
    <row r="3" spans="2:12" ht="76.5" x14ac:dyDescent="0.25">
      <c r="B3" s="14" t="s">
        <v>13</v>
      </c>
      <c r="C3" s="14" t="s">
        <v>8</v>
      </c>
      <c r="D3" s="48" t="s">
        <v>69</v>
      </c>
      <c r="E3" s="17" t="s">
        <v>22</v>
      </c>
      <c r="F3" s="18">
        <v>277762.96000000002</v>
      </c>
      <c r="G3" s="29">
        <f>F3*0.19+F3</f>
        <v>330537.92240000004</v>
      </c>
      <c r="H3" s="30">
        <f>F3/3693</f>
        <v>75.213365827240736</v>
      </c>
      <c r="I3" s="31">
        <f>PRODUCT(H3*3690)</f>
        <v>277537.3199025183</v>
      </c>
      <c r="J3" s="34" t="s">
        <v>84</v>
      </c>
      <c r="K3" s="50" t="s">
        <v>70</v>
      </c>
      <c r="L3" s="33" t="s">
        <v>54</v>
      </c>
    </row>
    <row r="4" spans="2:12" ht="38.25" x14ac:dyDescent="0.25">
      <c r="B4" s="14" t="s">
        <v>14</v>
      </c>
      <c r="C4" s="14" t="s">
        <v>20</v>
      </c>
      <c r="D4" s="48" t="s">
        <v>71</v>
      </c>
      <c r="E4" s="17" t="s">
        <v>21</v>
      </c>
      <c r="F4" s="30">
        <v>489000</v>
      </c>
      <c r="G4" s="29">
        <f t="shared" ref="G4:G5" si="0">F4*0.19+F4</f>
        <v>581910</v>
      </c>
      <c r="H4" s="30">
        <f>F4/3693</f>
        <v>132.41267262388303</v>
      </c>
      <c r="I4" s="31">
        <f>PRODUCT(H4*3690)</f>
        <v>488602.76198212837</v>
      </c>
      <c r="J4" s="34" t="s">
        <v>84</v>
      </c>
      <c r="K4" s="17" t="s">
        <v>72</v>
      </c>
      <c r="L4" s="33" t="s">
        <v>54</v>
      </c>
    </row>
    <row r="5" spans="2:12" ht="76.5" x14ac:dyDescent="0.25">
      <c r="B5" s="14" t="s">
        <v>7</v>
      </c>
      <c r="C5" s="14" t="s">
        <v>12</v>
      </c>
      <c r="D5" s="48" t="s">
        <v>73</v>
      </c>
      <c r="E5" s="14" t="s">
        <v>19</v>
      </c>
      <c r="F5" s="18">
        <v>500000</v>
      </c>
      <c r="G5" s="29">
        <f t="shared" si="0"/>
        <v>595000</v>
      </c>
      <c r="H5" s="30">
        <f>F5/3693</f>
        <v>135.39128080151639</v>
      </c>
      <c r="I5" s="31">
        <f>PRODUCT(H5*3690)</f>
        <v>499593.8261575955</v>
      </c>
      <c r="J5" s="34" t="s">
        <v>84</v>
      </c>
      <c r="K5" s="17" t="s">
        <v>74</v>
      </c>
      <c r="L5" s="33" t="s">
        <v>54</v>
      </c>
    </row>
  </sheetData>
  <hyperlinks>
    <hyperlink ref="L4" r:id="rId1" xr:uid="{00000000-0004-0000-0200-000000000000}"/>
    <hyperlink ref="L3" r:id="rId2" xr:uid="{00000000-0004-0000-0200-000001000000}"/>
    <hyperlink ref="L5" r:id="rId3" xr:uid="{00000000-0004-0000-0200-00000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5"/>
  <sheetViews>
    <sheetView zoomScale="80" zoomScaleNormal="80" workbookViewId="0">
      <selection activeCell="E12" sqref="E12"/>
    </sheetView>
  </sheetViews>
  <sheetFormatPr baseColWidth="10" defaultRowHeight="15" x14ac:dyDescent="0.25"/>
  <cols>
    <col min="2" max="2" width="15.7109375" bestFit="1" customWidth="1"/>
    <col min="3" max="3" width="11.42578125" customWidth="1"/>
    <col min="4" max="4" width="55.28515625" customWidth="1"/>
    <col min="5" max="5" width="26.7109375" customWidth="1"/>
    <col min="6" max="6" width="12.42578125" bestFit="1" customWidth="1"/>
    <col min="7" max="7" width="16" customWidth="1"/>
    <col min="8" max="8" width="14.85546875" customWidth="1"/>
    <col min="10" max="10" width="18.42578125" bestFit="1" customWidth="1"/>
    <col min="11" max="11" width="18.5703125" bestFit="1" customWidth="1"/>
  </cols>
  <sheetData>
    <row r="2" spans="2:12" ht="38.25" x14ac:dyDescent="0.25">
      <c r="B2" s="43" t="s">
        <v>51</v>
      </c>
      <c r="C2" s="12" t="s">
        <v>0</v>
      </c>
      <c r="D2" s="12" t="s">
        <v>55</v>
      </c>
      <c r="E2" s="12" t="s">
        <v>59</v>
      </c>
      <c r="F2" s="44" t="s">
        <v>1</v>
      </c>
      <c r="G2" s="45" t="s">
        <v>52</v>
      </c>
      <c r="H2" s="46" t="s">
        <v>63</v>
      </c>
      <c r="I2" s="12" t="s">
        <v>2</v>
      </c>
      <c r="J2" s="12" t="s">
        <v>3</v>
      </c>
      <c r="K2" s="12" t="s">
        <v>4</v>
      </c>
      <c r="L2" s="47" t="s">
        <v>24</v>
      </c>
    </row>
    <row r="3" spans="2:12" ht="38.25" x14ac:dyDescent="0.25">
      <c r="B3" s="14" t="s">
        <v>13</v>
      </c>
      <c r="C3" s="14" t="s">
        <v>26</v>
      </c>
      <c r="D3" s="48" t="s">
        <v>64</v>
      </c>
      <c r="E3" s="17" t="s">
        <v>62</v>
      </c>
      <c r="F3" s="18">
        <v>90000</v>
      </c>
      <c r="G3" s="29">
        <f>F3*0.19</f>
        <v>17100</v>
      </c>
      <c r="H3" s="30">
        <f>F3/3693</f>
        <v>24.370430544272949</v>
      </c>
      <c r="I3" s="31">
        <f>PRODUCT(H3*3690)</f>
        <v>89926.888708367187</v>
      </c>
      <c r="J3" s="14" t="s">
        <v>86</v>
      </c>
      <c r="K3" s="17" t="s">
        <v>28</v>
      </c>
      <c r="L3" s="49" t="s">
        <v>54</v>
      </c>
    </row>
    <row r="4" spans="2:12" ht="38.25" x14ac:dyDescent="0.25">
      <c r="B4" s="14" t="s">
        <v>6</v>
      </c>
      <c r="C4" s="14" t="s">
        <v>23</v>
      </c>
      <c r="D4" s="48" t="s">
        <v>65</v>
      </c>
      <c r="E4" s="17" t="s">
        <v>62</v>
      </c>
      <c r="F4" s="18">
        <v>95000</v>
      </c>
      <c r="G4" s="29">
        <f>F4*0.19+F4</f>
        <v>113050</v>
      </c>
      <c r="H4" s="30">
        <f>F4/3693</f>
        <v>25.724343352288113</v>
      </c>
      <c r="I4" s="31">
        <f>PRODUCT(H4*3690)</f>
        <v>94922.82696994314</v>
      </c>
      <c r="J4" s="14" t="s">
        <v>86</v>
      </c>
      <c r="K4" s="17" t="s">
        <v>28</v>
      </c>
      <c r="L4" s="49" t="s">
        <v>54</v>
      </c>
    </row>
    <row r="5" spans="2:12" ht="38.25" x14ac:dyDescent="0.25">
      <c r="B5" s="14" t="s">
        <v>29</v>
      </c>
      <c r="C5" s="14" t="s">
        <v>25</v>
      </c>
      <c r="D5" s="48" t="s">
        <v>66</v>
      </c>
      <c r="E5" s="17" t="s">
        <v>62</v>
      </c>
      <c r="F5" s="30">
        <v>85000</v>
      </c>
      <c r="G5" s="30">
        <v>85000</v>
      </c>
      <c r="H5" s="30">
        <f>F5/3693</f>
        <v>23.016517736257786</v>
      </c>
      <c r="I5" s="31">
        <f>PRODUCT(H5*3690)</f>
        <v>84930.950446791234</v>
      </c>
      <c r="J5" s="14" t="s">
        <v>86</v>
      </c>
      <c r="K5" s="17" t="s">
        <v>27</v>
      </c>
      <c r="L5" s="49" t="s">
        <v>54</v>
      </c>
    </row>
  </sheetData>
  <hyperlinks>
    <hyperlink ref="L4" r:id="rId1" xr:uid="{00000000-0004-0000-0300-000000000000}"/>
    <hyperlink ref="L3" r:id="rId2" xr:uid="{00000000-0004-0000-0300-000001000000}"/>
    <hyperlink ref="L5" r:id="rId3" xr:uid="{00000000-0004-0000-03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5436-ED14-4F9D-BDEA-C2B2FDA5787F}">
  <dimension ref="B2:L5"/>
  <sheetViews>
    <sheetView topLeftCell="A2" workbookViewId="0">
      <selection activeCell="C3" sqref="C3"/>
    </sheetView>
  </sheetViews>
  <sheetFormatPr baseColWidth="10" defaultRowHeight="15" x14ac:dyDescent="0.25"/>
  <cols>
    <col min="2" max="2" width="15.28515625" customWidth="1"/>
    <col min="3" max="3" width="18.28515625" customWidth="1"/>
    <col min="4" max="4" width="62.85546875" customWidth="1"/>
    <col min="5" max="5" width="39.28515625" customWidth="1"/>
    <col min="11" max="11" width="40.42578125" customWidth="1"/>
  </cols>
  <sheetData>
    <row r="2" spans="2:12" ht="51" x14ac:dyDescent="0.25">
      <c r="B2" s="21" t="s">
        <v>51</v>
      </c>
      <c r="C2" s="22" t="s">
        <v>0</v>
      </c>
      <c r="D2" s="22" t="s">
        <v>55</v>
      </c>
      <c r="E2" s="22" t="s">
        <v>59</v>
      </c>
      <c r="F2" s="23" t="s">
        <v>1</v>
      </c>
      <c r="G2" s="24" t="s">
        <v>60</v>
      </c>
      <c r="H2" s="25" t="s">
        <v>61</v>
      </c>
      <c r="I2" s="22" t="s">
        <v>2</v>
      </c>
      <c r="J2" s="22" t="s">
        <v>3</v>
      </c>
      <c r="K2" s="22" t="s">
        <v>4</v>
      </c>
      <c r="L2" s="26" t="s">
        <v>57</v>
      </c>
    </row>
    <row r="3" spans="2:12" ht="51" x14ac:dyDescent="0.25">
      <c r="B3" s="14" t="s">
        <v>13</v>
      </c>
      <c r="C3" s="27" t="s">
        <v>125</v>
      </c>
      <c r="D3" s="28" t="s">
        <v>130</v>
      </c>
      <c r="E3" s="14" t="s">
        <v>131</v>
      </c>
      <c r="F3" s="18">
        <v>0</v>
      </c>
      <c r="G3" s="29">
        <f>F3*0.19</f>
        <v>0</v>
      </c>
      <c r="H3" s="30">
        <f>F3/3693</f>
        <v>0</v>
      </c>
      <c r="I3" s="31">
        <f>PRODUCT(H3*3690)</f>
        <v>0</v>
      </c>
      <c r="J3" s="14" t="s">
        <v>85</v>
      </c>
      <c r="K3" s="17" t="s">
        <v>132</v>
      </c>
      <c r="L3" s="65" t="s">
        <v>54</v>
      </c>
    </row>
    <row r="4" spans="2:12" ht="51" x14ac:dyDescent="0.25">
      <c r="B4" s="14" t="s">
        <v>14</v>
      </c>
      <c r="C4" s="27" t="s">
        <v>126</v>
      </c>
      <c r="D4" s="28" t="s">
        <v>129</v>
      </c>
      <c r="E4" s="14" t="s">
        <v>133</v>
      </c>
      <c r="F4" s="18">
        <v>0</v>
      </c>
      <c r="G4" s="29">
        <f>F4*0.19</f>
        <v>0</v>
      </c>
      <c r="H4" s="30">
        <f>F4/3693</f>
        <v>0</v>
      </c>
      <c r="I4" s="31">
        <f>PRODUCT(H4*3690)</f>
        <v>0</v>
      </c>
      <c r="J4" s="14" t="s">
        <v>85</v>
      </c>
      <c r="K4" s="17" t="s">
        <v>134</v>
      </c>
      <c r="L4" s="65" t="s">
        <v>54</v>
      </c>
    </row>
    <row r="5" spans="2:12" ht="51" x14ac:dyDescent="0.25">
      <c r="B5" s="14" t="s">
        <v>7</v>
      </c>
      <c r="C5" s="27" t="s">
        <v>127</v>
      </c>
      <c r="D5" s="28" t="s">
        <v>128</v>
      </c>
      <c r="E5" s="14" t="s">
        <v>135</v>
      </c>
      <c r="F5" s="18">
        <v>0</v>
      </c>
      <c r="G5" s="29">
        <f>F5*0.19</f>
        <v>0</v>
      </c>
      <c r="H5" s="30">
        <f>F5/3693</f>
        <v>0</v>
      </c>
      <c r="I5" s="31">
        <f>PRODUCT(H5*3690)</f>
        <v>0</v>
      </c>
      <c r="J5" s="14" t="s">
        <v>85</v>
      </c>
      <c r="K5" s="17" t="s">
        <v>136</v>
      </c>
      <c r="L5" s="65" t="s">
        <v>54</v>
      </c>
    </row>
  </sheetData>
  <hyperlinks>
    <hyperlink ref="L4" r:id="rId1" xr:uid="{70ACB6B5-FE43-4545-AAC1-B39E9138B239}"/>
    <hyperlink ref="L3" r:id="rId2" xr:uid="{72EF6B40-A8A8-4A2C-A730-CF202A944B84}"/>
    <hyperlink ref="L5" r:id="rId3" xr:uid="{847B9E49-BB62-4CAB-8B02-D6CFECCC909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282A-774A-4678-9696-65D1E8102B26}">
  <dimension ref="B2:L5"/>
  <sheetViews>
    <sheetView topLeftCell="B1" workbookViewId="0">
      <selection activeCell="D2" sqref="D2"/>
    </sheetView>
  </sheetViews>
  <sheetFormatPr baseColWidth="10" defaultRowHeight="15" x14ac:dyDescent="0.25"/>
  <cols>
    <col min="2" max="2" width="13.28515625" customWidth="1"/>
    <col min="3" max="3" width="17.7109375" customWidth="1"/>
    <col min="4" max="4" width="58.85546875" customWidth="1"/>
    <col min="5" max="5" width="37.42578125" customWidth="1"/>
    <col min="6" max="6" width="11.85546875" bestFit="1" customWidth="1"/>
    <col min="11" max="11" width="32.7109375" customWidth="1"/>
  </cols>
  <sheetData>
    <row r="2" spans="2:12" ht="51" x14ac:dyDescent="0.25">
      <c r="B2" s="21" t="s">
        <v>51</v>
      </c>
      <c r="C2" s="22" t="s">
        <v>0</v>
      </c>
      <c r="D2" s="22" t="s">
        <v>55</v>
      </c>
      <c r="E2" s="22" t="s">
        <v>59</v>
      </c>
      <c r="F2" s="23" t="s">
        <v>1</v>
      </c>
      <c r="G2" s="24" t="s">
        <v>60</v>
      </c>
      <c r="H2" s="25" t="s">
        <v>61</v>
      </c>
      <c r="I2" s="22" t="s">
        <v>2</v>
      </c>
      <c r="J2" s="22" t="s">
        <v>3</v>
      </c>
      <c r="K2" s="22" t="s">
        <v>4</v>
      </c>
      <c r="L2" s="26" t="s">
        <v>57</v>
      </c>
    </row>
    <row r="3" spans="2:12" ht="51" x14ac:dyDescent="0.25">
      <c r="B3" s="14" t="s">
        <v>13</v>
      </c>
      <c r="C3" s="27" t="s">
        <v>108</v>
      </c>
      <c r="D3" s="28" t="s">
        <v>115</v>
      </c>
      <c r="E3" s="14" t="s">
        <v>109</v>
      </c>
      <c r="F3" s="18">
        <v>0</v>
      </c>
      <c r="G3" s="29">
        <f>F3*0.19</f>
        <v>0</v>
      </c>
      <c r="H3" s="30">
        <f>F3/3693</f>
        <v>0</v>
      </c>
      <c r="I3" s="31">
        <f>PRODUCT(H3*3690)</f>
        <v>0</v>
      </c>
      <c r="J3" s="14" t="s">
        <v>85</v>
      </c>
      <c r="K3" s="17" t="s">
        <v>110</v>
      </c>
      <c r="L3" s="65" t="s">
        <v>54</v>
      </c>
    </row>
    <row r="4" spans="2:12" ht="51" x14ac:dyDescent="0.25">
      <c r="B4" s="14" t="s">
        <v>14</v>
      </c>
      <c r="C4" s="27" t="s">
        <v>116</v>
      </c>
      <c r="D4" s="28" t="s">
        <v>123</v>
      </c>
      <c r="E4" s="14" t="s">
        <v>121</v>
      </c>
      <c r="F4" s="18">
        <v>0</v>
      </c>
      <c r="G4" s="29">
        <f>F4*0.19</f>
        <v>0</v>
      </c>
      <c r="H4" s="30">
        <f>F4/3693</f>
        <v>0</v>
      </c>
      <c r="I4" s="31">
        <f>PRODUCT(H4*3690)</f>
        <v>0</v>
      </c>
      <c r="J4" s="14" t="s">
        <v>85</v>
      </c>
      <c r="K4" s="17" t="s">
        <v>122</v>
      </c>
      <c r="L4" s="65" t="s">
        <v>54</v>
      </c>
    </row>
    <row r="5" spans="2:12" ht="51" x14ac:dyDescent="0.25">
      <c r="B5" s="14" t="s">
        <v>7</v>
      </c>
      <c r="C5" s="27" t="s">
        <v>117</v>
      </c>
      <c r="D5" s="28" t="s">
        <v>118</v>
      </c>
      <c r="E5" s="14" t="s">
        <v>119</v>
      </c>
      <c r="F5" s="18">
        <v>0</v>
      </c>
      <c r="G5" s="29">
        <f>F5*0.19</f>
        <v>0</v>
      </c>
      <c r="H5" s="30">
        <f>F5/3693</f>
        <v>0</v>
      </c>
      <c r="I5" s="31">
        <f>PRODUCT(H5*3690)</f>
        <v>0</v>
      </c>
      <c r="J5" s="14" t="s">
        <v>85</v>
      </c>
      <c r="K5" s="17" t="s">
        <v>120</v>
      </c>
      <c r="L5" s="65" t="s">
        <v>54</v>
      </c>
    </row>
  </sheetData>
  <hyperlinks>
    <hyperlink ref="L4" r:id="rId1" xr:uid="{215C2113-011F-4201-B05E-780681B2E60A}"/>
    <hyperlink ref="L3" r:id="rId2" xr:uid="{A3B3C626-A704-4972-BED5-4535C2ACADE7}"/>
    <hyperlink ref="L5" r:id="rId3" xr:uid="{93DB326E-CC25-4E34-9253-52E8A498C7B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7CC0-AC03-466D-9037-7853FBA5EC4F}">
  <dimension ref="B2:L5"/>
  <sheetViews>
    <sheetView zoomScale="96" zoomScaleNormal="96" workbookViewId="0">
      <selection activeCell="C3" sqref="C3"/>
    </sheetView>
  </sheetViews>
  <sheetFormatPr baseColWidth="10" defaultRowHeight="15" x14ac:dyDescent="0.25"/>
  <cols>
    <col min="2" max="2" width="15.140625" customWidth="1"/>
    <col min="3" max="3" width="22.140625" customWidth="1"/>
    <col min="4" max="4" width="67.28515625" customWidth="1"/>
    <col min="5" max="5" width="51.7109375" customWidth="1"/>
    <col min="6" max="6" width="14.5703125" bestFit="1" customWidth="1"/>
    <col min="7" max="7" width="12.28515625" bestFit="1" customWidth="1"/>
    <col min="8" max="8" width="17" customWidth="1"/>
    <col min="9" max="9" width="12.28515625" customWidth="1"/>
    <col min="11" max="11" width="50" customWidth="1"/>
  </cols>
  <sheetData>
    <row r="2" spans="2:12" ht="51" x14ac:dyDescent="0.25">
      <c r="B2" s="21" t="s">
        <v>51</v>
      </c>
      <c r="C2" s="22" t="s">
        <v>0</v>
      </c>
      <c r="D2" s="22" t="s">
        <v>55</v>
      </c>
      <c r="E2" s="22" t="s">
        <v>59</v>
      </c>
      <c r="F2" s="23" t="s">
        <v>1</v>
      </c>
      <c r="G2" s="24" t="s">
        <v>60</v>
      </c>
      <c r="H2" s="25" t="s">
        <v>61</v>
      </c>
      <c r="I2" s="22" t="s">
        <v>2</v>
      </c>
      <c r="J2" s="22" t="s">
        <v>3</v>
      </c>
      <c r="K2" s="22" t="s">
        <v>4</v>
      </c>
      <c r="L2" s="26" t="s">
        <v>57</v>
      </c>
    </row>
    <row r="3" spans="2:12" ht="38.25" x14ac:dyDescent="0.25">
      <c r="B3" s="14" t="s">
        <v>13</v>
      </c>
      <c r="C3" s="27" t="s">
        <v>102</v>
      </c>
      <c r="D3" s="28" t="s">
        <v>103</v>
      </c>
      <c r="E3" s="14" t="s">
        <v>104</v>
      </c>
      <c r="F3" s="18">
        <v>0</v>
      </c>
      <c r="G3" s="29">
        <f>F3*0.19</f>
        <v>0</v>
      </c>
      <c r="H3" s="30">
        <f>F3/3693</f>
        <v>0</v>
      </c>
      <c r="I3" s="31">
        <f>PRODUCT(H3*3690)</f>
        <v>0</v>
      </c>
      <c r="J3" s="14" t="s">
        <v>85</v>
      </c>
      <c r="K3" s="17" t="s">
        <v>105</v>
      </c>
      <c r="L3" s="65" t="s">
        <v>54</v>
      </c>
    </row>
    <row r="4" spans="2:12" ht="48" customHeight="1" x14ac:dyDescent="0.25">
      <c r="B4" s="14" t="s">
        <v>14</v>
      </c>
      <c r="C4" s="27" t="s">
        <v>111</v>
      </c>
      <c r="D4" s="28" t="s">
        <v>114</v>
      </c>
      <c r="E4" s="14" t="s">
        <v>112</v>
      </c>
      <c r="F4" s="18">
        <v>0</v>
      </c>
      <c r="G4" s="29">
        <f>F4*0.19</f>
        <v>0</v>
      </c>
      <c r="H4" s="30">
        <f>F4/3693</f>
        <v>0</v>
      </c>
      <c r="I4" s="31">
        <f>PRODUCT(H4*3690)</f>
        <v>0</v>
      </c>
      <c r="J4" s="14" t="s">
        <v>85</v>
      </c>
      <c r="K4" s="17" t="s">
        <v>113</v>
      </c>
      <c r="L4" s="65" t="s">
        <v>54</v>
      </c>
    </row>
    <row r="5" spans="2:12" ht="38.25" x14ac:dyDescent="0.25">
      <c r="B5" s="14" t="s">
        <v>7</v>
      </c>
      <c r="C5" s="27" t="s">
        <v>100</v>
      </c>
      <c r="D5" s="28" t="s">
        <v>101</v>
      </c>
      <c r="E5" s="14" t="s">
        <v>106</v>
      </c>
      <c r="F5" s="18">
        <v>18223.28</v>
      </c>
      <c r="G5" s="29">
        <f>F5*0.19</f>
        <v>3462.4231999999997</v>
      </c>
      <c r="H5" s="30">
        <f>F5/3693</f>
        <v>4.9345464392093144</v>
      </c>
      <c r="I5" s="31">
        <f>PRODUCT(H5*3690)</f>
        <v>18208.476360682369</v>
      </c>
      <c r="J5" s="14" t="s">
        <v>85</v>
      </c>
      <c r="K5" s="17" t="s">
        <v>107</v>
      </c>
      <c r="L5" s="65" t="s">
        <v>54</v>
      </c>
    </row>
  </sheetData>
  <hyperlinks>
    <hyperlink ref="L4" r:id="rId1" xr:uid="{CC6DCE7B-9FBB-42C7-99D0-A8032BF2E8CC}"/>
    <hyperlink ref="L3" r:id="rId2" xr:uid="{1F6152E8-D36C-425D-B7D8-FAFCFBACBC3B}"/>
    <hyperlink ref="L5" r:id="rId3" xr:uid="{99ECFB66-C8F6-4559-A796-CA283E1F4FD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8"/>
  <sheetViews>
    <sheetView zoomScale="106" zoomScaleNormal="106" workbookViewId="0">
      <selection activeCell="D4" sqref="D4"/>
    </sheetView>
  </sheetViews>
  <sheetFormatPr baseColWidth="10" defaultRowHeight="15" x14ac:dyDescent="0.25"/>
  <cols>
    <col min="2" max="2" width="15.140625" customWidth="1"/>
    <col min="3" max="3" width="19.28515625" customWidth="1"/>
    <col min="4" max="4" width="43" customWidth="1"/>
    <col min="5" max="5" width="13.7109375" customWidth="1"/>
    <col min="6" max="6" width="15" bestFit="1" customWidth="1"/>
    <col min="11" max="11" width="14.140625" customWidth="1"/>
  </cols>
  <sheetData>
    <row r="2" spans="2:11" ht="25.5" x14ac:dyDescent="0.25">
      <c r="B2" s="12" t="s">
        <v>30</v>
      </c>
      <c r="C2" s="12" t="s">
        <v>31</v>
      </c>
      <c r="D2" s="12" t="s">
        <v>33</v>
      </c>
      <c r="E2" s="12" t="s">
        <v>32</v>
      </c>
      <c r="F2" s="13" t="s">
        <v>34</v>
      </c>
      <c r="G2" s="3"/>
      <c r="H2" s="4"/>
      <c r="I2" s="5"/>
      <c r="J2" s="5"/>
      <c r="K2" s="5"/>
    </row>
    <row r="3" spans="2:11" ht="25.5" x14ac:dyDescent="0.25">
      <c r="B3" s="14" t="s">
        <v>35</v>
      </c>
      <c r="C3" s="14" t="s">
        <v>41</v>
      </c>
      <c r="D3" s="15" t="s">
        <v>40</v>
      </c>
      <c r="E3" s="14">
        <v>3150696093</v>
      </c>
      <c r="F3" s="18">
        <v>1425000</v>
      </c>
      <c r="G3" s="6"/>
      <c r="H3" s="7"/>
      <c r="I3" s="8"/>
      <c r="J3" s="9"/>
      <c r="K3" s="10"/>
    </row>
    <row r="4" spans="2:11" ht="25.5" x14ac:dyDescent="0.25">
      <c r="B4" s="14" t="s">
        <v>36</v>
      </c>
      <c r="C4" s="14" t="s">
        <v>42</v>
      </c>
      <c r="D4" s="15" t="s">
        <v>43</v>
      </c>
      <c r="E4" s="17">
        <v>3108761260</v>
      </c>
      <c r="F4" s="18">
        <v>1425000</v>
      </c>
      <c r="G4" s="6"/>
      <c r="H4" s="7"/>
      <c r="I4" s="8"/>
      <c r="J4" s="9"/>
      <c r="K4" s="10"/>
    </row>
    <row r="5" spans="2:11" ht="25.5" x14ac:dyDescent="0.25">
      <c r="B5" s="14" t="s">
        <v>37</v>
      </c>
      <c r="C5" s="14" t="s">
        <v>44</v>
      </c>
      <c r="D5" s="15" t="s">
        <v>45</v>
      </c>
      <c r="E5" s="17">
        <v>3168419908</v>
      </c>
      <c r="F5" s="18">
        <v>1500000</v>
      </c>
      <c r="G5" s="6"/>
      <c r="H5" s="7"/>
      <c r="I5" s="8"/>
      <c r="J5" s="9"/>
      <c r="K5" s="11"/>
    </row>
    <row r="6" spans="2:11" ht="25.5" x14ac:dyDescent="0.25">
      <c r="B6" s="14" t="s">
        <v>38</v>
      </c>
      <c r="C6" s="14" t="s">
        <v>46</v>
      </c>
      <c r="D6" s="15" t="s">
        <v>47</v>
      </c>
      <c r="E6" s="17">
        <v>310223914</v>
      </c>
      <c r="F6" s="18">
        <v>1800000</v>
      </c>
    </row>
    <row r="7" spans="2:11" ht="25.5" x14ac:dyDescent="0.25">
      <c r="B7" s="14" t="s">
        <v>39</v>
      </c>
      <c r="C7" s="14" t="s">
        <v>48</v>
      </c>
      <c r="D7" s="15" t="s">
        <v>49</v>
      </c>
      <c r="E7" s="17">
        <v>3114225082</v>
      </c>
      <c r="F7" s="18">
        <v>1350000</v>
      </c>
    </row>
    <row r="8" spans="2:11" ht="27" customHeight="1" x14ac:dyDescent="0.25">
      <c r="B8" s="19"/>
      <c r="C8" s="19"/>
      <c r="D8" s="19"/>
      <c r="E8" s="20" t="s">
        <v>50</v>
      </c>
      <c r="F8" s="16">
        <f>SUM(F3:F7)</f>
        <v>7500000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N32"/>
  <sheetViews>
    <sheetView tabSelected="1" topLeftCell="B24" zoomScaleNormal="100" workbookViewId="0">
      <selection activeCell="G27" sqref="G27:H31"/>
    </sheetView>
  </sheetViews>
  <sheetFormatPr baseColWidth="10" defaultRowHeight="15" x14ac:dyDescent="0.25"/>
  <cols>
    <col min="5" max="5" width="46" customWidth="1"/>
    <col min="6" max="6" width="22.140625" customWidth="1"/>
  </cols>
  <sheetData>
    <row r="2" spans="3:12" x14ac:dyDescent="0.25">
      <c r="C2" s="54" t="s">
        <v>87</v>
      </c>
      <c r="D2" s="55"/>
      <c r="E2" s="55"/>
      <c r="F2" s="55"/>
      <c r="G2" s="55"/>
      <c r="H2" s="55"/>
      <c r="I2" s="55"/>
      <c r="J2" s="55"/>
      <c r="K2" s="55"/>
      <c r="L2" s="55"/>
    </row>
    <row r="3" spans="3:12" x14ac:dyDescent="0.25"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3:12" x14ac:dyDescent="0.25">
      <c r="C4" s="56" t="s">
        <v>149</v>
      </c>
      <c r="D4" s="57"/>
      <c r="E4" s="57"/>
      <c r="F4" s="57"/>
      <c r="G4" s="57"/>
      <c r="H4" s="57"/>
      <c r="I4" s="57"/>
      <c r="J4" s="57"/>
      <c r="K4" s="57"/>
      <c r="L4" s="55"/>
    </row>
    <row r="5" spans="3:12" x14ac:dyDescent="0.25"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3:12" x14ac:dyDescent="0.25">
      <c r="C6" s="51" t="s">
        <v>159</v>
      </c>
      <c r="D6" s="53"/>
      <c r="E6" s="53"/>
      <c r="F6" s="53"/>
      <c r="G6" s="53"/>
      <c r="H6" s="53"/>
      <c r="I6" s="53"/>
      <c r="J6" s="53"/>
      <c r="K6" s="53"/>
      <c r="L6" s="53"/>
    </row>
    <row r="7" spans="3:12" x14ac:dyDescent="0.25">
      <c r="C7" s="53"/>
      <c r="D7" s="53"/>
      <c r="E7" s="53"/>
      <c r="F7" s="53"/>
      <c r="G7" s="53"/>
      <c r="H7" s="53"/>
      <c r="I7" s="53"/>
      <c r="J7" s="53"/>
      <c r="K7" s="53"/>
      <c r="L7" s="53"/>
    </row>
    <row r="8" spans="3:12" x14ac:dyDescent="0.25">
      <c r="C8" s="51" t="s">
        <v>98</v>
      </c>
      <c r="D8" s="52"/>
      <c r="E8" s="52"/>
      <c r="F8" s="52"/>
      <c r="G8" s="52"/>
      <c r="H8" s="52"/>
      <c r="I8" s="52"/>
      <c r="J8" s="52"/>
      <c r="K8" s="52"/>
      <c r="L8" s="53"/>
    </row>
    <row r="9" spans="3:12" x14ac:dyDescent="0.25">
      <c r="C9" s="53"/>
      <c r="D9" s="52"/>
      <c r="E9" s="52"/>
      <c r="F9" s="52"/>
      <c r="G9" s="52"/>
      <c r="H9" s="52"/>
      <c r="I9" s="52"/>
      <c r="J9" s="52"/>
      <c r="K9" s="52"/>
      <c r="L9" s="53"/>
    </row>
    <row r="10" spans="3:12" x14ac:dyDescent="0.25">
      <c r="C10" s="58" t="s">
        <v>94</v>
      </c>
      <c r="D10" s="59"/>
      <c r="E10" s="59"/>
      <c r="F10" s="59"/>
      <c r="G10" s="59"/>
      <c r="H10" s="59"/>
      <c r="I10" s="59"/>
      <c r="J10" s="59"/>
      <c r="K10" s="59"/>
      <c r="L10" s="59"/>
    </row>
    <row r="11" spans="3:12" x14ac:dyDescent="0.25">
      <c r="C11" s="59"/>
      <c r="D11" s="59"/>
      <c r="E11" s="59"/>
      <c r="F11" s="59"/>
      <c r="G11" s="59"/>
      <c r="H11" s="59"/>
      <c r="I11" s="59"/>
      <c r="J11" s="59"/>
      <c r="K11" s="59"/>
      <c r="L11" s="59"/>
    </row>
    <row r="12" spans="3:12" x14ac:dyDescent="0.25">
      <c r="C12" s="51" t="s">
        <v>95</v>
      </c>
      <c r="D12" s="52"/>
      <c r="E12" s="52"/>
      <c r="F12" s="52"/>
      <c r="G12" s="52"/>
      <c r="H12" s="52"/>
      <c r="I12" s="52"/>
      <c r="J12" s="52"/>
      <c r="K12" s="52"/>
      <c r="L12" s="53"/>
    </row>
    <row r="13" spans="3:12" x14ac:dyDescent="0.25">
      <c r="C13" s="53"/>
      <c r="D13" s="53"/>
      <c r="E13" s="53"/>
      <c r="F13" s="53"/>
      <c r="G13" s="53"/>
      <c r="H13" s="53"/>
      <c r="I13" s="53"/>
      <c r="J13" s="53"/>
      <c r="K13" s="53"/>
      <c r="L13" s="53"/>
    </row>
    <row r="14" spans="3:12" x14ac:dyDescent="0.25">
      <c r="C14" s="60" t="s">
        <v>150</v>
      </c>
      <c r="D14" s="55"/>
      <c r="E14" s="55"/>
      <c r="F14" s="55"/>
      <c r="G14" s="55"/>
      <c r="H14" s="55"/>
      <c r="I14" s="55"/>
      <c r="J14" s="55"/>
      <c r="K14" s="55"/>
      <c r="L14" s="55"/>
    </row>
    <row r="15" spans="3:12" x14ac:dyDescent="0.25">
      <c r="C15" s="55"/>
      <c r="D15" s="57"/>
      <c r="E15" s="57"/>
      <c r="F15" s="57"/>
      <c r="G15" s="57"/>
      <c r="H15" s="57"/>
      <c r="I15" s="57"/>
      <c r="J15" s="57"/>
      <c r="K15" s="57"/>
      <c r="L15" s="55"/>
    </row>
    <row r="16" spans="3:12" x14ac:dyDescent="0.25">
      <c r="C16" s="55"/>
      <c r="D16" s="55"/>
      <c r="E16" s="55"/>
      <c r="F16" s="55"/>
      <c r="G16" s="55"/>
      <c r="H16" s="55"/>
      <c r="I16" s="55"/>
      <c r="J16" s="55"/>
      <c r="K16" s="55"/>
      <c r="L16" s="55"/>
    </row>
    <row r="17" spans="3:14" x14ac:dyDescent="0.25">
      <c r="C17" s="61" t="s">
        <v>151</v>
      </c>
      <c r="D17" s="62"/>
      <c r="E17" s="61" t="s">
        <v>96</v>
      </c>
      <c r="F17" s="62"/>
      <c r="G17" s="61" t="s">
        <v>88</v>
      </c>
      <c r="H17" s="62"/>
      <c r="I17" s="61" t="s">
        <v>152</v>
      </c>
      <c r="J17" s="62"/>
      <c r="K17" s="61" t="s">
        <v>153</v>
      </c>
      <c r="L17" s="62"/>
    </row>
    <row r="18" spans="3:14" x14ac:dyDescent="0.25">
      <c r="C18" s="62"/>
      <c r="D18" s="62"/>
      <c r="E18" s="62"/>
      <c r="F18" s="62"/>
      <c r="G18" s="62"/>
      <c r="H18" s="62"/>
      <c r="I18" s="62"/>
      <c r="J18" s="62"/>
      <c r="K18" s="62"/>
      <c r="L18" s="62"/>
    </row>
    <row r="19" spans="3:14" ht="39.75" customHeight="1" x14ac:dyDescent="0.25">
      <c r="C19" s="77" t="s">
        <v>89</v>
      </c>
      <c r="D19" s="78"/>
      <c r="E19" s="69" t="s">
        <v>147</v>
      </c>
      <c r="F19" s="70"/>
      <c r="G19" s="83">
        <v>5</v>
      </c>
      <c r="H19" s="84"/>
      <c r="I19" s="73">
        <v>34510</v>
      </c>
      <c r="J19" s="74"/>
      <c r="K19" s="75">
        <f>I19*G19</f>
        <v>172550</v>
      </c>
      <c r="L19" s="76"/>
    </row>
    <row r="20" spans="3:14" ht="54" customHeight="1" x14ac:dyDescent="0.25">
      <c r="C20" s="79"/>
      <c r="D20" s="80"/>
      <c r="E20" s="94" t="s">
        <v>145</v>
      </c>
      <c r="F20" s="92"/>
      <c r="G20" s="95"/>
      <c r="H20" s="96"/>
      <c r="I20" s="63">
        <v>1771874.3</v>
      </c>
      <c r="J20" s="63"/>
      <c r="K20" s="64">
        <f>I20*G19</f>
        <v>8859371.5</v>
      </c>
      <c r="L20" s="64"/>
    </row>
    <row r="21" spans="3:14" ht="54" customHeight="1" x14ac:dyDescent="0.25">
      <c r="C21" s="79"/>
      <c r="D21" s="80"/>
      <c r="E21" s="94" t="s">
        <v>146</v>
      </c>
      <c r="F21" s="92"/>
      <c r="G21" s="95"/>
      <c r="H21" s="96"/>
      <c r="I21" s="93">
        <v>330537.92240000004</v>
      </c>
      <c r="J21" s="93"/>
      <c r="K21" s="64">
        <f>I21*G19</f>
        <v>1652689.6120000002</v>
      </c>
      <c r="L21" s="64"/>
    </row>
    <row r="22" spans="3:14" ht="34.5" customHeight="1" x14ac:dyDescent="0.25">
      <c r="C22" s="81"/>
      <c r="D22" s="82"/>
      <c r="E22" s="92" t="s">
        <v>148</v>
      </c>
      <c r="F22" s="92"/>
      <c r="G22" s="85"/>
      <c r="H22" s="86"/>
      <c r="I22" s="93">
        <v>18803.189999999999</v>
      </c>
      <c r="J22" s="93"/>
      <c r="K22" s="64">
        <f>I22*G19</f>
        <v>94015.95</v>
      </c>
      <c r="L22" s="64"/>
    </row>
    <row r="23" spans="3:14" ht="34.5" customHeight="1" x14ac:dyDescent="0.25">
      <c r="C23" s="71" t="s">
        <v>90</v>
      </c>
      <c r="D23" s="72"/>
      <c r="E23" s="67" t="s">
        <v>97</v>
      </c>
      <c r="F23" s="68"/>
      <c r="G23" s="71">
        <v>1</v>
      </c>
      <c r="H23" s="72"/>
      <c r="I23" s="75">
        <v>90000</v>
      </c>
      <c r="J23" s="76"/>
      <c r="K23" s="75">
        <f t="shared" ref="K23" si="0">I23*G23</f>
        <v>90000</v>
      </c>
      <c r="L23" s="76"/>
    </row>
    <row r="24" spans="3:14" ht="34.5" customHeight="1" x14ac:dyDescent="0.25">
      <c r="C24" s="83" t="s">
        <v>91</v>
      </c>
      <c r="D24" s="84"/>
      <c r="E24" s="99" t="s">
        <v>125</v>
      </c>
      <c r="F24" s="100"/>
      <c r="G24" s="83">
        <v>1</v>
      </c>
      <c r="H24" s="84"/>
      <c r="I24" s="87">
        <v>0</v>
      </c>
      <c r="J24" s="88"/>
      <c r="K24" s="75">
        <v>0</v>
      </c>
      <c r="L24" s="76"/>
    </row>
    <row r="25" spans="3:14" ht="31.5" customHeight="1" x14ac:dyDescent="0.25">
      <c r="C25" s="95"/>
      <c r="D25" s="96"/>
      <c r="E25" s="99" t="s">
        <v>108</v>
      </c>
      <c r="F25" s="100"/>
      <c r="G25" s="95"/>
      <c r="H25" s="96"/>
      <c r="I25" s="87">
        <v>0</v>
      </c>
      <c r="J25" s="88"/>
      <c r="K25" s="75">
        <v>1</v>
      </c>
      <c r="L25" s="76"/>
      <c r="M25" s="98"/>
    </row>
    <row r="26" spans="3:14" ht="33.75" customHeight="1" x14ac:dyDescent="0.25">
      <c r="C26" s="85"/>
      <c r="D26" s="86"/>
      <c r="E26" s="99" t="s">
        <v>102</v>
      </c>
      <c r="F26" s="100"/>
      <c r="G26" s="85"/>
      <c r="H26" s="86"/>
      <c r="I26" s="87">
        <v>0</v>
      </c>
      <c r="J26" s="88"/>
      <c r="K26" s="75">
        <v>2</v>
      </c>
      <c r="L26" s="76"/>
      <c r="M26" s="98"/>
      <c r="N26" s="66"/>
    </row>
    <row r="27" spans="3:14" ht="32.25" customHeight="1" x14ac:dyDescent="0.25">
      <c r="C27" s="83" t="s">
        <v>92</v>
      </c>
      <c r="D27" s="84"/>
      <c r="E27" s="67" t="s">
        <v>154</v>
      </c>
      <c r="F27" s="68"/>
      <c r="G27" s="83">
        <v>1</v>
      </c>
      <c r="H27" s="84"/>
      <c r="I27" s="104">
        <v>1425000</v>
      </c>
      <c r="J27" s="105"/>
      <c r="K27" s="75">
        <f t="shared" ref="K27" si="1">I27*G27</f>
        <v>1425000</v>
      </c>
      <c r="L27" s="76"/>
      <c r="M27" s="98"/>
    </row>
    <row r="28" spans="3:14" ht="30" customHeight="1" x14ac:dyDescent="0.25">
      <c r="C28" s="95"/>
      <c r="D28" s="96"/>
      <c r="E28" s="97" t="s">
        <v>155</v>
      </c>
      <c r="F28" s="101"/>
      <c r="G28" s="95"/>
      <c r="H28" s="96"/>
      <c r="I28" s="104">
        <v>1425000</v>
      </c>
      <c r="J28" s="105"/>
      <c r="K28" s="75">
        <f>I28*G27</f>
        <v>1425000</v>
      </c>
      <c r="L28" s="76"/>
      <c r="M28" s="98"/>
    </row>
    <row r="29" spans="3:14" ht="34.5" customHeight="1" x14ac:dyDescent="0.25">
      <c r="C29" s="95"/>
      <c r="D29" s="96"/>
      <c r="E29" s="97" t="s">
        <v>156</v>
      </c>
      <c r="F29" s="101"/>
      <c r="G29" s="95"/>
      <c r="H29" s="96"/>
      <c r="I29" s="104">
        <v>1500000</v>
      </c>
      <c r="J29" s="105"/>
      <c r="K29" s="75">
        <f>I29*G27</f>
        <v>1500000</v>
      </c>
      <c r="L29" s="76"/>
      <c r="M29" s="98"/>
    </row>
    <row r="30" spans="3:14" ht="29.25" customHeight="1" x14ac:dyDescent="0.25">
      <c r="C30" s="95"/>
      <c r="D30" s="96"/>
      <c r="E30" s="102" t="s">
        <v>157</v>
      </c>
      <c r="F30" s="103"/>
      <c r="G30" s="95"/>
      <c r="H30" s="96"/>
      <c r="I30" s="104">
        <v>1800000</v>
      </c>
      <c r="J30" s="105"/>
      <c r="K30" s="75">
        <f>I30*G27</f>
        <v>1800000</v>
      </c>
      <c r="L30" s="76"/>
    </row>
    <row r="31" spans="3:14" ht="30" customHeight="1" x14ac:dyDescent="0.25">
      <c r="C31" s="85"/>
      <c r="D31" s="86"/>
      <c r="E31" s="97" t="s">
        <v>158</v>
      </c>
      <c r="F31" s="101"/>
      <c r="G31" s="85"/>
      <c r="H31" s="86"/>
      <c r="I31" s="104">
        <v>1350000</v>
      </c>
      <c r="J31" s="105"/>
      <c r="K31" s="75">
        <f>I31*G27</f>
        <v>1350000</v>
      </c>
      <c r="L31" s="76"/>
    </row>
    <row r="32" spans="3:14" ht="30" customHeight="1" x14ac:dyDescent="0.25">
      <c r="C32" s="89"/>
      <c r="D32" s="89"/>
      <c r="E32" s="89"/>
      <c r="F32" s="89"/>
      <c r="G32" s="89"/>
      <c r="H32" s="89"/>
      <c r="I32" s="90" t="s">
        <v>93</v>
      </c>
      <c r="J32" s="91"/>
      <c r="K32" s="87">
        <f>SUM(K19:L31)</f>
        <v>18368630.061999999</v>
      </c>
      <c r="L32" s="88"/>
    </row>
  </sheetData>
  <mergeCells count="61">
    <mergeCell ref="C24:D26"/>
    <mergeCell ref="E26:F26"/>
    <mergeCell ref="G24:H26"/>
    <mergeCell ref="I30:J30"/>
    <mergeCell ref="K30:L30"/>
    <mergeCell ref="G27:H31"/>
    <mergeCell ref="I27:J27"/>
    <mergeCell ref="I28:J28"/>
    <mergeCell ref="I29:J29"/>
    <mergeCell ref="K27:L27"/>
    <mergeCell ref="K28:L28"/>
    <mergeCell ref="K29:L29"/>
    <mergeCell ref="I32:J32"/>
    <mergeCell ref="C27:D31"/>
    <mergeCell ref="E27:F27"/>
    <mergeCell ref="E28:F28"/>
    <mergeCell ref="E29:F29"/>
    <mergeCell ref="E30:F30"/>
    <mergeCell ref="I31:J31"/>
    <mergeCell ref="K31:L31"/>
    <mergeCell ref="E31:F31"/>
    <mergeCell ref="K32:L32"/>
    <mergeCell ref="K24:L24"/>
    <mergeCell ref="I24:J24"/>
    <mergeCell ref="E25:F25"/>
    <mergeCell ref="I25:J25"/>
    <mergeCell ref="K25:L25"/>
    <mergeCell ref="I26:J26"/>
    <mergeCell ref="K26:L26"/>
    <mergeCell ref="E23:F23"/>
    <mergeCell ref="G23:H23"/>
    <mergeCell ref="E22:F22"/>
    <mergeCell ref="C19:D22"/>
    <mergeCell ref="C23:D23"/>
    <mergeCell ref="E20:F20"/>
    <mergeCell ref="I21:J21"/>
    <mergeCell ref="K21:L21"/>
    <mergeCell ref="E21:F21"/>
    <mergeCell ref="I22:J22"/>
    <mergeCell ref="K22:L22"/>
    <mergeCell ref="E24:F24"/>
    <mergeCell ref="I23:J23"/>
    <mergeCell ref="K23:L23"/>
    <mergeCell ref="E19:F19"/>
    <mergeCell ref="I19:J19"/>
    <mergeCell ref="K19:L19"/>
    <mergeCell ref="K20:L20"/>
    <mergeCell ref="I20:J20"/>
    <mergeCell ref="G19:H22"/>
    <mergeCell ref="C14:L16"/>
    <mergeCell ref="C17:D18"/>
    <mergeCell ref="E17:F18"/>
    <mergeCell ref="G17:H18"/>
    <mergeCell ref="I17:J18"/>
    <mergeCell ref="K17:L18"/>
    <mergeCell ref="C12:L13"/>
    <mergeCell ref="C2:L3"/>
    <mergeCell ref="C4:L5"/>
    <mergeCell ref="C6:L7"/>
    <mergeCell ref="C8:L9"/>
    <mergeCell ref="C10:L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PC</vt:lpstr>
      <vt:lpstr>Mouse</vt:lpstr>
      <vt:lpstr>Teclado</vt:lpstr>
      <vt:lpstr>Monitor</vt:lpstr>
      <vt:lpstr>Conectividad</vt:lpstr>
      <vt:lpstr>Hosting FrontEnd</vt:lpstr>
      <vt:lpstr>Hosting Base de Datos</vt:lpstr>
      <vt:lpstr>Hosting BackEnd</vt:lpstr>
      <vt:lpstr>Desarrollo</vt:lpstr>
      <vt:lpstr>Resumen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2026-02-25T20:25:20Z</dcterms:created>
  <dcterms:modified xsi:type="dcterms:W3CDTF">2026-04-07T04:58:53Z</dcterms:modified>
</cp:coreProperties>
</file>