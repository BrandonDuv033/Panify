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uario\Downloads\"/>
    </mc:Choice>
  </mc:AlternateContent>
  <xr:revisionPtr revIDLastSave="0" documentId="8_{AE45465C-3822-42BC-9A02-FB169B5BD608}" xr6:coauthVersionLast="47" xr6:coauthVersionMax="47" xr10:uidLastSave="{00000000-0000-0000-0000-000000000000}"/>
  <bookViews>
    <workbookView xWindow="-120" yWindow="-120" windowWidth="19440" windowHeight="10590" xr2:uid="{3A296B84-9D4E-4D37-9A54-DA8264403FF0}"/>
  </bookViews>
  <sheets>
    <sheet name="Mouse" sheetId="1" r:id="rId1"/>
    <sheet name="PC" sheetId="2" r:id="rId2"/>
    <sheet name="Monitor" sheetId="3" r:id="rId3"/>
    <sheet name="Conectividad" sheetId="4" r:id="rId4"/>
    <sheet name="Windows" sheetId="5" r:id="rId5"/>
    <sheet name="Servidores" sheetId="7" r:id="rId6"/>
    <sheet name="Desarrollo" sheetId="8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8" i="8" l="1"/>
  <c r="G4" i="4"/>
  <c r="G4" i="1"/>
  <c r="G5" i="1"/>
  <c r="G3" i="1"/>
  <c r="G4" i="2"/>
  <c r="G5" i="2"/>
  <c r="G3" i="2"/>
  <c r="G4" i="3"/>
  <c r="G5" i="3"/>
  <c r="G3" i="3"/>
  <c r="H3" i="3"/>
  <c r="I3" i="3"/>
  <c r="H5" i="7"/>
  <c r="I5" i="7" s="1"/>
  <c r="G5" i="7"/>
  <c r="H4" i="7"/>
  <c r="I4" i="7" s="1"/>
  <c r="G4" i="7"/>
  <c r="H3" i="7"/>
  <c r="I3" i="7" s="1"/>
  <c r="G3" i="7"/>
  <c r="H5" i="5"/>
  <c r="I5" i="5" s="1"/>
  <c r="G5" i="5"/>
  <c r="H3" i="5"/>
  <c r="I3" i="5" s="1"/>
  <c r="G3" i="5"/>
  <c r="H4" i="5"/>
  <c r="I4" i="5" s="1"/>
  <c r="G4" i="5"/>
  <c r="H3" i="4"/>
  <c r="I3" i="4" s="1"/>
  <c r="G3" i="4"/>
  <c r="H5" i="4"/>
  <c r="I5" i="4" s="1"/>
  <c r="H4" i="4"/>
  <c r="I4" i="4" s="1"/>
  <c r="H4" i="3"/>
  <c r="I4" i="3" s="1"/>
  <c r="H5" i="3"/>
  <c r="I5" i="3" s="1"/>
  <c r="H3" i="2"/>
  <c r="I3" i="2" s="1"/>
  <c r="H4" i="2"/>
  <c r="I4" i="2" s="1"/>
  <c r="H5" i="2"/>
  <c r="I5" i="2" s="1"/>
  <c r="H5" i="1"/>
  <c r="I5" i="1" s="1"/>
  <c r="H3" i="1"/>
  <c r="I3" i="1" s="1"/>
  <c r="H4" i="1"/>
  <c r="I4" i="1" s="1"/>
</calcChain>
</file>

<file path=xl/sharedStrings.xml><?xml version="1.0" encoding="utf-8"?>
<sst xmlns="http://schemas.openxmlformats.org/spreadsheetml/2006/main" count="213" uniqueCount="111">
  <si>
    <t>Empresa</t>
  </si>
  <si>
    <t>Importe unitario</t>
  </si>
  <si>
    <t>Tipo de cambio</t>
  </si>
  <si>
    <t>Forma de pago 
(Contado o cheque)</t>
  </si>
  <si>
    <t>Observaciones</t>
  </si>
  <si>
    <t>N -1</t>
  </si>
  <si>
    <t>Mouse óptico ergonómico USB alámbrico TeckNet Pro S2 para laptop, 6 botones, 2000DPI</t>
  </si>
  <si>
    <t>Contado</t>
  </si>
  <si>
    <t>N - 2</t>
  </si>
  <si>
    <t>N - 3</t>
  </si>
  <si>
    <t>Amazon</t>
  </si>
  <si>
    <t>Mouse Genius DX-101 Óptico USB 1000 DPI Negro - Ergonómico</t>
  </si>
  <si>
    <t>Logitech</t>
  </si>
  <si>
    <t>Mouse LOGITECH G Alámbrico Gaming Lightsync G203 Negro</t>
  </si>
  <si>
    <t>Falabella</t>
  </si>
  <si>
    <t>N - 1</t>
  </si>
  <si>
    <t>N -2</t>
  </si>
  <si>
    <t>RYZEN 5 5600GT RAM 16GB DDR4 SSD 512GB M.2 BOARD A520M CHASIS 4FANS RGB</t>
  </si>
  <si>
    <t>Linio</t>
  </si>
  <si>
    <t>COMPUTADOR DE ESCRITORIO PROCESADOR I3-10105F / SSD 512GB / MONITOR 22"</t>
  </si>
  <si>
    <t>Dell Optiplex 3060 Computadora de escritorio | Intel i5-8500 (3.2) | 32GB DDR4 RAM | 1TB SSD de estado sólido | WiFi integrado | Bluetooth | Windows 11 Professional</t>
  </si>
  <si>
    <t>Monitor LG 22U401A-B 21.5 Fhd Amd Freesync 100hz 5ms</t>
  </si>
  <si>
    <t>Alkosto</t>
  </si>
  <si>
    <t>Monitor KALLEY 22" Pulgadas K-M22FP FHD Plano Negro</t>
  </si>
  <si>
    <t>Monitor Philips 221V8LB (22", Full HD, 100Hz): Delgado, VESA, HDMI/VGA, LowBlue, Adaptive Sync.</t>
  </si>
  <si>
    <t>Movistar</t>
  </si>
  <si>
    <t>Planes</t>
  </si>
  <si>
    <t>Tigo</t>
  </si>
  <si>
    <t>Claro</t>
  </si>
  <si>
    <t>500 mb</t>
  </si>
  <si>
    <t>900 mb Fibra Optica</t>
  </si>
  <si>
    <t>N -3</t>
  </si>
  <si>
    <t>Colombia Keys</t>
  </si>
  <si>
    <t>Windows 11 Pro Retail</t>
  </si>
  <si>
    <t>Colombia PC</t>
  </si>
  <si>
    <t>Windows 11 Professional</t>
  </si>
  <si>
    <t>3clics</t>
  </si>
  <si>
    <t>Windows 11 Home</t>
  </si>
  <si>
    <t>Nombre</t>
  </si>
  <si>
    <t>Rol</t>
  </si>
  <si>
    <t>Información de contacto</t>
  </si>
  <si>
    <t>Descripción del Rol</t>
  </si>
  <si>
    <t>Precio del servicio</t>
  </si>
  <si>
    <t>Kevin González</t>
  </si>
  <si>
    <t>Brayan Devia</t>
  </si>
  <si>
    <t>Martín Cruz</t>
  </si>
  <si>
    <t>Brandon Guevara</t>
  </si>
  <si>
    <t>Jeison Diaz</t>
  </si>
  <si>
    <t>Recolección y análisis de requisitos, estudio del proceso actual, documentación del SRS</t>
  </si>
  <si>
    <t>Analista de Requerimientos</t>
  </si>
  <si>
    <t>Diseñador UI/UX</t>
  </si>
  <si>
    <t>Diseño de interfaces, prototipado, diagramación de pantallas</t>
  </si>
  <si>
    <t>Desarrollador Frontend</t>
  </si>
  <si>
    <t>Implementación visual, navegación, validaciones de usuario</t>
  </si>
  <si>
    <t>Desarrollador Backend</t>
  </si>
  <si>
    <t>Lógica del sistema, API, base de datos, control de stock, pedidos</t>
  </si>
  <si>
    <t>Tester</t>
  </si>
  <si>
    <t>Pruebas funcionales, reporte de errores, trazabilidad, validación contra requisitos</t>
  </si>
  <si>
    <t>TOTAL:</t>
  </si>
  <si>
    <t>Presupuestos</t>
  </si>
  <si>
    <t>Importe total 
IVA incluido</t>
  </si>
  <si>
    <t>Producto</t>
  </si>
  <si>
    <t>Link</t>
  </si>
  <si>
    <t>N de CUIT, Direccion, Telefono</t>
  </si>
  <si>
    <t>N de CUIT, Direccion,  Telefono</t>
  </si>
  <si>
    <t>Hostinger International Ltd.</t>
  </si>
  <si>
    <t>Servicio de servidor privado virtual (VPS) para alojar la aplicación web Panify, incluyendo backend, API y base de datos PostgreSQL.</t>
  </si>
  <si>
    <t>2 vCPU
8 GB RAM
100 GB SSD
IP dedicada
Acceso root
Disponibilidad 99.9%
Permite instalar PostgreSQL, Node.js, etc.
Soporte técnico 24/7
Ideal para proyectos pequeños y medianos</t>
  </si>
  <si>
    <t>Servicio</t>
  </si>
  <si>
    <t>Licencias</t>
  </si>
  <si>
    <t>Amazon Web Services, Inc.</t>
  </si>
  <si>
    <t>Instancia virtual EC2 para ejecutar el backend de Panify y alojar la base de datos en entorno cloud escalable.</t>
  </si>
  <si>
    <t>Escalabilidad automática 
Alta disponibilidad 
Seguridad empresarial 
Facturación por consumo 
Integración con servicios como RDS y backups automáticos 
Recomendado para crecimiento futuro</t>
  </si>
  <si>
    <t>Microsoft Corporation</t>
  </si>
  <si>
    <t>Máquina virtual en la nube para alojar backend, API y base de datos.</t>
  </si>
  <si>
    <t>Alta seguridad
Integración con herramientas Microsoft
Soporte empresarial
Escalabilidad flexible
Backup configurable
Infraestructura global</t>
  </si>
  <si>
    <r>
      <t xml:space="preserve">Importe total
</t>
    </r>
    <r>
      <rPr>
        <b/>
        <i/>
        <sz val="10"/>
        <color theme="1"/>
        <rFont val="Arial"/>
        <family val="2"/>
      </rPr>
      <t>(moneda extranjera)</t>
    </r>
  </si>
  <si>
    <r>
      <rPr>
        <b/>
        <sz val="10"/>
        <color theme="1"/>
        <rFont val="Arial"/>
        <family val="2"/>
      </rPr>
      <t>Registro empresarial:</t>
    </r>
    <r>
      <rPr>
        <sz val="10"/>
        <color theme="1"/>
        <rFont val="Arial"/>
        <family val="2"/>
      </rPr>
      <t xml:space="preserve"> 30418190 (Europa)
</t>
    </r>
    <r>
      <rPr>
        <b/>
        <sz val="10"/>
        <color theme="1"/>
        <rFont val="Arial"/>
        <family val="2"/>
      </rPr>
      <t>Dirección:</t>
    </r>
    <r>
      <rPr>
        <sz val="10"/>
        <color theme="1"/>
        <rFont val="Arial"/>
        <family val="2"/>
      </rPr>
      <t xml:space="preserve"> 61 Lordou Vironos Street, 6023 Larnaca, Chipre
</t>
    </r>
    <r>
      <rPr>
        <b/>
        <sz val="10"/>
        <color theme="1"/>
        <rFont val="Arial"/>
        <family val="2"/>
      </rPr>
      <t>Teléfono:</t>
    </r>
    <r>
      <rPr>
        <sz val="10"/>
        <color theme="1"/>
        <rFont val="Arial"/>
        <family val="2"/>
      </rPr>
      <t xml:space="preserve"> No publica línea telefónica directa (soporte en línea 24/7)</t>
    </r>
  </si>
  <si>
    <r>
      <rPr>
        <b/>
        <sz val="10"/>
        <color theme="1"/>
        <rFont val="Arial"/>
        <family val="2"/>
      </rPr>
      <t>Tax ID (EE.UU.):</t>
    </r>
    <r>
      <rPr>
        <sz val="10"/>
        <color theme="1"/>
        <rFont val="Arial"/>
        <family val="2"/>
      </rPr>
      <t xml:space="preserve"> 91‑1646860
</t>
    </r>
    <r>
      <rPr>
        <b/>
        <sz val="10"/>
        <color theme="1"/>
        <rFont val="Arial"/>
        <family val="2"/>
      </rPr>
      <t>Dirección:</t>
    </r>
    <r>
      <rPr>
        <sz val="10"/>
        <color theme="1"/>
        <rFont val="Arial"/>
        <family val="2"/>
      </rPr>
      <t xml:space="preserve"> 410 Terry Ave North, Seattle, WA 98109, Estados Unidos
</t>
    </r>
    <r>
      <rPr>
        <b/>
        <sz val="10"/>
        <color theme="1"/>
        <rFont val="Arial"/>
        <family val="2"/>
      </rPr>
      <t>Teléfono:</t>
    </r>
    <r>
      <rPr>
        <sz val="10"/>
        <color theme="1"/>
        <rFont val="Arial"/>
        <family val="2"/>
      </rPr>
      <t xml:space="preserve"> +1 (206) 266‑1000</t>
    </r>
  </si>
  <si>
    <r>
      <rPr>
        <b/>
        <sz val="10"/>
        <color theme="1"/>
        <rFont val="Arial"/>
        <family val="2"/>
      </rPr>
      <t>EIN (EE.UU.):</t>
    </r>
    <r>
      <rPr>
        <sz val="10"/>
        <color theme="1"/>
        <rFont val="Arial"/>
        <family val="2"/>
      </rPr>
      <t xml:space="preserve"> 91‑1144442
</t>
    </r>
    <r>
      <rPr>
        <b/>
        <sz val="10"/>
        <color theme="1"/>
        <rFont val="Arial"/>
        <family val="2"/>
      </rPr>
      <t>Dirección:</t>
    </r>
    <r>
      <rPr>
        <sz val="10"/>
        <color theme="1"/>
        <rFont val="Arial"/>
        <family val="2"/>
      </rPr>
      <t xml:space="preserve"> One Microsoft Way, Redmond, WA 98052, Estados Unidos
</t>
    </r>
    <r>
      <rPr>
        <b/>
        <sz val="10"/>
        <color theme="1"/>
        <rFont val="Arial"/>
        <family val="2"/>
      </rPr>
      <t>Teléfono:</t>
    </r>
    <r>
      <rPr>
        <sz val="10"/>
        <color theme="1"/>
        <rFont val="Arial"/>
        <family val="2"/>
      </rPr>
      <t xml:space="preserve"> +1 (425) 882‑8080</t>
    </r>
  </si>
  <si>
    <t>Descripcion del servicio</t>
  </si>
  <si>
    <t>Importe total  IVA incluido</t>
  </si>
  <si>
    <r>
      <t xml:space="preserve">Importe total </t>
    </r>
    <r>
      <rPr>
        <b/>
        <i/>
        <sz val="10"/>
        <color theme="1"/>
        <rFont val="Arial"/>
        <family val="2"/>
      </rPr>
      <t>(moneda extranjera)</t>
    </r>
  </si>
  <si>
    <r>
      <rPr>
        <b/>
        <sz val="10"/>
        <color theme="1"/>
        <rFont val="Arial"/>
        <family val="2"/>
      </rPr>
      <t>NIT:</t>
    </r>
    <r>
      <rPr>
        <sz val="10"/>
        <color theme="1"/>
        <rFont val="Arial"/>
        <family val="2"/>
      </rPr>
      <t xml:space="preserve"> Información no publicada
</t>
    </r>
    <r>
      <rPr>
        <b/>
        <sz val="10"/>
        <color theme="1"/>
        <rFont val="Arial"/>
        <family val="2"/>
      </rPr>
      <t>Dirección:</t>
    </r>
    <r>
      <rPr>
        <sz val="10"/>
        <color theme="1"/>
        <rFont val="Arial"/>
        <family val="2"/>
      </rPr>
      <t xml:space="preserve"> Información no publicada
</t>
    </r>
    <r>
      <rPr>
        <b/>
        <sz val="10"/>
        <color theme="1"/>
        <rFont val="Arial"/>
        <family val="2"/>
      </rPr>
      <t>Teléfono:</t>
    </r>
    <r>
      <rPr>
        <sz val="10"/>
        <color theme="1"/>
        <rFont val="Arial"/>
        <family val="2"/>
      </rPr>
      <t xml:space="preserve"> +57 323 293 7372</t>
    </r>
  </si>
  <si>
    <r>
      <rPr>
        <b/>
        <sz val="10"/>
        <color rgb="FF333333"/>
        <rFont val="Arial"/>
        <family val="2"/>
      </rPr>
      <t>Producto:</t>
    </r>
    <r>
      <rPr>
        <sz val="10"/>
        <color rgb="FF333333"/>
        <rFont val="Arial"/>
        <family val="2"/>
      </rPr>
      <t xml:space="preserve"> Clave de Producto Original Windows 11 Pro (25 caracteres). 
</t>
    </r>
    <r>
      <rPr>
        <b/>
        <sz val="10"/>
        <color rgb="FF333333"/>
        <rFont val="Arial"/>
        <family val="2"/>
      </rPr>
      <t>Activación:</t>
    </r>
    <r>
      <rPr>
        <sz val="10"/>
        <color rgb="FF333333"/>
        <rFont val="Arial"/>
        <family val="2"/>
      </rPr>
      <t xml:space="preserve"> Permanente tras validar serial, instantánea con instrucciones. 
</t>
    </r>
    <r>
      <rPr>
        <b/>
        <sz val="10"/>
        <color rgb="FF333333"/>
        <rFont val="Arial"/>
        <family val="2"/>
      </rPr>
      <t>Modalidad:</t>
    </r>
    <r>
      <rPr>
        <sz val="10"/>
        <color rgb="FF333333"/>
        <rFont val="Arial"/>
        <family val="2"/>
      </rPr>
      <t xml:space="preserve"> Pago único, sin suscripciones. 
</t>
    </r>
    <r>
      <rPr>
        <b/>
        <sz val="10"/>
        <color rgb="FF333333"/>
        <rFont val="Arial"/>
        <family val="2"/>
      </rPr>
      <t>Beneficios:</t>
    </r>
    <r>
      <rPr>
        <sz val="10"/>
        <color rgb="FF333333"/>
        <rFont val="Arial"/>
        <family val="2"/>
      </rPr>
      <t xml:space="preserve"> Características innovadoras, apps premium, almacenamiento en la nube, seguridad avanzada. 
</t>
    </r>
    <r>
      <rPr>
        <b/>
        <sz val="10"/>
        <color rgb="FF333333"/>
        <rFont val="Arial"/>
        <family val="2"/>
      </rPr>
      <t>Duración:</t>
    </r>
    <r>
      <rPr>
        <sz val="10"/>
        <color rgb="FF333333"/>
        <rFont val="Arial"/>
        <family val="2"/>
      </rPr>
      <t xml:space="preserve"> Permanente para 1 PC.</t>
    </r>
  </si>
  <si>
    <r>
      <rPr>
        <b/>
        <sz val="10"/>
        <color theme="1"/>
        <rFont val="Arial"/>
        <family val="2"/>
      </rPr>
      <t>NIT / CUIT:</t>
    </r>
    <r>
      <rPr>
        <sz val="10"/>
        <color theme="1"/>
        <rFont val="Arial"/>
        <family val="2"/>
      </rPr>
      <t xml:space="preserve"> No publicado en sitio web
</t>
    </r>
    <r>
      <rPr>
        <b/>
        <sz val="10"/>
        <color theme="1"/>
        <rFont val="Arial"/>
        <family val="2"/>
      </rPr>
      <t>Dirección:</t>
    </r>
    <r>
      <rPr>
        <sz val="10"/>
        <color theme="1"/>
        <rFont val="Arial"/>
        <family val="2"/>
      </rPr>
      <t xml:space="preserve"> No disponible públicamente
</t>
    </r>
    <r>
      <rPr>
        <b/>
        <sz val="10"/>
        <color theme="1"/>
        <rFont val="Arial"/>
        <family val="2"/>
      </rPr>
      <t>Teléfono:</t>
    </r>
    <r>
      <rPr>
        <sz val="10"/>
        <color theme="1"/>
        <rFont val="Arial"/>
        <family val="2"/>
      </rPr>
      <t xml:space="preserve"> No disponible públicamente</t>
    </r>
  </si>
  <si>
    <r>
      <rPr>
        <b/>
        <sz val="10"/>
        <color rgb="FF333333"/>
        <rFont val="Arial"/>
        <family val="2"/>
      </rPr>
      <t>Producto:</t>
    </r>
    <r>
      <rPr>
        <sz val="10"/>
        <color rgb="FF333333"/>
        <rFont val="Arial"/>
        <family val="2"/>
      </rPr>
      <t xml:space="preserve"> Licencia de Windows 11 Pro (clave de 25 caracteres). 
</t>
    </r>
    <r>
      <rPr>
        <b/>
        <sz val="10"/>
        <color rgb="FF333333"/>
        <rFont val="Arial"/>
        <family val="2"/>
      </rPr>
      <t>Activación:</t>
    </r>
    <r>
      <rPr>
        <sz val="10"/>
        <color rgb="FF333333"/>
        <rFont val="Arial"/>
        <family val="2"/>
      </rPr>
      <t xml:space="preserve"> En línea, vinculada a cuenta Microsoft. 
</t>
    </r>
    <r>
      <rPr>
        <b/>
        <sz val="10"/>
        <color rgb="FF333333"/>
        <rFont val="Arial"/>
        <family val="2"/>
      </rPr>
      <t>Duración:</t>
    </r>
    <r>
      <rPr>
        <sz val="10"/>
        <color rgb="FF333333"/>
        <rFont val="Arial"/>
        <family val="2"/>
      </rPr>
      <t xml:space="preserve"> De por vida para 1 PC. 
</t>
    </r>
    <r>
      <rPr>
        <b/>
        <sz val="10"/>
        <color rgb="FF333333"/>
        <rFont val="Arial"/>
        <family val="2"/>
      </rPr>
      <t>Flexibilidad:</t>
    </r>
    <r>
      <rPr>
        <sz val="10"/>
        <color rgb="FF333333"/>
        <rFont val="Arial"/>
        <family val="2"/>
      </rPr>
      <t xml:space="preserve"> Reactivable en el mismo PC, transferible a otro. 
</t>
    </r>
    <r>
      <rPr>
        <b/>
        <sz val="10"/>
        <color rgb="FF333333"/>
        <rFont val="Arial"/>
        <family val="2"/>
      </rPr>
      <t>Instalación:</t>
    </r>
    <r>
      <rPr>
        <sz val="10"/>
        <color rgb="FF333333"/>
        <rFont val="Arial"/>
        <family val="2"/>
      </rPr>
      <t xml:space="preserve"> Permite instalación limpia o reinstalación. 
</t>
    </r>
    <r>
      <rPr>
        <b/>
        <sz val="10"/>
        <color rgb="FF333333"/>
        <rFont val="Arial"/>
        <family val="2"/>
      </rPr>
      <t>Actualización:</t>
    </r>
    <r>
      <rPr>
        <sz val="10"/>
        <color rgb="FF333333"/>
        <rFont val="Arial"/>
        <family val="2"/>
      </rPr>
      <t xml:space="preserve"> Posible desde Home/Home Single Language (consultar soporte). 
</t>
    </r>
    <r>
      <rPr>
        <b/>
        <sz val="10"/>
        <color rgb="FF333333"/>
        <rFont val="Arial"/>
        <family val="2"/>
      </rPr>
      <t>Entrega:</t>
    </r>
    <r>
      <rPr>
        <sz val="10"/>
        <color rgb="FF333333"/>
        <rFont val="Arial"/>
        <family val="2"/>
      </rPr>
      <t xml:space="preserve"> Envío instantáneo por correo electrónico. Idioma: Disponible en todos los idiomas.</t>
    </r>
  </si>
  <si>
    <r>
      <t xml:space="preserve">
</t>
    </r>
    <r>
      <rPr>
        <b/>
        <sz val="10"/>
        <color theme="1"/>
        <rFont val="Arial"/>
        <family val="2"/>
      </rPr>
      <t>NIT / CUIT:</t>
    </r>
    <r>
      <rPr>
        <sz val="10"/>
        <color theme="1"/>
        <rFont val="Arial"/>
        <family val="2"/>
      </rPr>
      <t xml:space="preserve"> No publicado en web pública
</t>
    </r>
    <r>
      <rPr>
        <b/>
        <sz val="10"/>
        <color theme="1"/>
        <rFont val="Arial"/>
        <family val="2"/>
      </rPr>
      <t>Dirección:</t>
    </r>
    <r>
      <rPr>
        <sz val="10"/>
        <color theme="1"/>
        <rFont val="Arial"/>
        <family val="2"/>
      </rPr>
      <t xml:space="preserve"> No publicado en web pública
</t>
    </r>
    <r>
      <rPr>
        <b/>
        <sz val="10"/>
        <color theme="1"/>
        <rFont val="Arial"/>
        <family val="2"/>
      </rPr>
      <t>Teléfono:</t>
    </r>
    <r>
      <rPr>
        <sz val="10"/>
        <color theme="1"/>
        <rFont val="Arial"/>
        <family val="2"/>
      </rPr>
      <t xml:space="preserve"> No publicado en web pública</t>
    </r>
  </si>
  <si>
    <r>
      <t xml:space="preserve">Producto: </t>
    </r>
    <r>
      <rPr>
        <sz val="10"/>
        <color rgb="FF333333"/>
        <rFont val="Arial"/>
        <family val="2"/>
      </rPr>
      <t>Windows 11 Home (licencia permanente).</t>
    </r>
    <r>
      <rPr>
        <b/>
        <sz val="10"/>
        <color rgb="FF333333"/>
        <rFont val="Arial"/>
        <family val="2"/>
      </rPr>
      <t xml:space="preserve"> 
Diseñado para: </t>
    </r>
    <r>
      <rPr>
        <sz val="10"/>
        <color rgb="FF333333"/>
        <rFont val="Arial"/>
        <family val="2"/>
      </rPr>
      <t>Usuarios domésticos.</t>
    </r>
    <r>
      <rPr>
        <b/>
        <sz val="10"/>
        <color rgb="FF333333"/>
        <rFont val="Arial"/>
        <family val="2"/>
      </rPr>
      <t xml:space="preserve"> 
Novedades: </t>
    </r>
    <r>
      <rPr>
        <sz val="10"/>
        <color rgb="FF333333"/>
        <rFont val="Arial"/>
        <family val="2"/>
      </rPr>
      <t>Interfaz moderna y limpia, mejoras multitarea, nuevas funciones de personalización.</t>
    </r>
    <r>
      <rPr>
        <b/>
        <sz val="10"/>
        <color rgb="FF333333"/>
        <rFont val="Arial"/>
        <family val="2"/>
      </rPr>
      <t xml:space="preserve"> 
Beneficios: </t>
    </r>
    <r>
      <rPr>
        <sz val="10"/>
        <color rgb="FF333333"/>
        <rFont val="Arial"/>
        <family val="2"/>
      </rPr>
      <t>Mejoras en seguridad y rendimiento, amplia compatibilidad con apps y dispositivos.</t>
    </r>
    <r>
      <rPr>
        <b/>
        <sz val="10"/>
        <color rgb="FF333333"/>
        <rFont val="Arial"/>
        <family val="2"/>
      </rPr>
      <t xml:space="preserve"> 
Garantía: </t>
    </r>
    <r>
      <rPr>
        <sz val="10"/>
        <color rgb="FF333333"/>
        <rFont val="Arial"/>
        <family val="2"/>
      </rPr>
      <t>Producto original con garantía y soporte técnico. Entrega: Inmediata por correo electrónico con manual de instalación.</t>
    </r>
  </si>
  <si>
    <t>Plan de Internet</t>
  </si>
  <si>
    <r>
      <t xml:space="preserve">Importe total
</t>
    </r>
    <r>
      <rPr>
        <b/>
        <i/>
        <sz val="10"/>
        <rFont val="Arial"/>
        <family val="2"/>
      </rPr>
      <t>(moneda extranjera)</t>
    </r>
  </si>
  <si>
    <r>
      <rPr>
        <b/>
        <sz val="10"/>
        <rFont val="Arial"/>
        <family val="2"/>
      </rPr>
      <t>NIT:</t>
    </r>
    <r>
      <rPr>
        <sz val="10"/>
        <rFont val="Arial"/>
        <family val="2"/>
      </rPr>
      <t xml:space="preserve"> 800.153.993‑7
</t>
    </r>
    <r>
      <rPr>
        <b/>
        <sz val="10"/>
        <rFont val="Arial"/>
        <family val="2"/>
      </rPr>
      <t>Dirección:</t>
    </r>
    <r>
      <rPr>
        <sz val="10"/>
        <rFont val="Arial"/>
        <family val="2"/>
      </rPr>
      <t xml:space="preserve"> Carrera 68A No. 24B‑10, Bogotá D.C., Colombia
</t>
    </r>
    <r>
      <rPr>
        <b/>
        <sz val="10"/>
        <rFont val="Arial"/>
        <family val="2"/>
      </rPr>
      <t>Teléfono:</t>
    </r>
    <r>
      <rPr>
        <sz val="10"/>
        <rFont val="Arial"/>
        <family val="2"/>
      </rPr>
      <t xml:space="preserve"> 01 8000 341 818</t>
    </r>
  </si>
  <si>
    <r>
      <rPr>
        <b/>
        <sz val="10"/>
        <rFont val="Arial"/>
        <family val="2"/>
      </rPr>
      <t>NIT:</t>
    </r>
    <r>
      <rPr>
        <sz val="10"/>
        <rFont val="Arial"/>
        <family val="2"/>
      </rPr>
      <t xml:space="preserve"> 830.122.566‑1
</t>
    </r>
    <r>
      <rPr>
        <b/>
        <sz val="10"/>
        <rFont val="Arial"/>
        <family val="2"/>
      </rPr>
      <t>Dirección:</t>
    </r>
    <r>
      <rPr>
        <sz val="10"/>
        <rFont val="Arial"/>
        <family val="2"/>
      </rPr>
      <t xml:space="preserve"> Calle 100 No. 7‑33, Bogotá D.C., Colombia
</t>
    </r>
    <r>
      <rPr>
        <b/>
        <sz val="10"/>
        <rFont val="Arial"/>
        <family val="2"/>
      </rPr>
      <t>Teléfono:</t>
    </r>
    <r>
      <rPr>
        <sz val="10"/>
        <rFont val="Arial"/>
        <family val="2"/>
      </rPr>
      <t xml:space="preserve"> 01 8000 930 930</t>
    </r>
  </si>
  <si>
    <r>
      <rPr>
        <b/>
        <sz val="10"/>
        <rFont val="Arial"/>
        <family val="2"/>
      </rPr>
      <t>NIT:</t>
    </r>
    <r>
      <rPr>
        <sz val="10"/>
        <rFont val="Arial"/>
        <family val="2"/>
      </rPr>
      <t xml:space="preserve"> 830.114.921‑1
</t>
    </r>
    <r>
      <rPr>
        <b/>
        <sz val="10"/>
        <rFont val="Arial"/>
        <family val="2"/>
      </rPr>
      <t>Dirección:</t>
    </r>
    <r>
      <rPr>
        <sz val="10"/>
        <rFont val="Arial"/>
        <family val="2"/>
      </rPr>
      <t xml:space="preserve"> Carrera 9 No. 99‑02, Bogotá D.C., Colombia
</t>
    </r>
    <r>
      <rPr>
        <b/>
        <sz val="10"/>
        <rFont val="Arial"/>
        <family val="2"/>
      </rPr>
      <t>Teléfono:</t>
    </r>
    <r>
      <rPr>
        <sz val="10"/>
        <rFont val="Arial"/>
        <family val="2"/>
      </rPr>
      <t xml:space="preserve"> 01 8000 422 222</t>
    </r>
  </si>
  <si>
    <r>
      <rPr>
        <b/>
        <sz val="10"/>
        <color theme="1"/>
        <rFont val="Arial"/>
        <family val="2"/>
      </rPr>
      <t xml:space="preserve">Tax ID (EE.UU.): </t>
    </r>
    <r>
      <rPr>
        <sz val="10"/>
        <color theme="1"/>
        <rFont val="Arial"/>
        <family val="2"/>
      </rPr>
      <t xml:space="preserve">91‑1646860
</t>
    </r>
    <r>
      <rPr>
        <b/>
        <sz val="10"/>
        <color theme="1"/>
        <rFont val="Arial"/>
        <family val="2"/>
      </rPr>
      <t xml:space="preserve">Dirección: </t>
    </r>
    <r>
      <rPr>
        <sz val="10"/>
        <color theme="1"/>
        <rFont val="Arial"/>
        <family val="2"/>
      </rPr>
      <t xml:space="preserve">410 Terry Ave N, Seattle, WA 98109, United States
</t>
    </r>
    <r>
      <rPr>
        <b/>
        <sz val="10"/>
        <color theme="1"/>
        <rFont val="Arial"/>
        <family val="2"/>
      </rPr>
      <t xml:space="preserve">Teléfono: </t>
    </r>
    <r>
      <rPr>
        <sz val="10"/>
        <color theme="1"/>
        <rFont val="Arial"/>
        <family val="2"/>
      </rPr>
      <t>+1 (206) 266‑1000</t>
    </r>
  </si>
  <si>
    <r>
      <rPr>
        <b/>
        <sz val="10"/>
        <color theme="1"/>
        <rFont val="Arial"/>
        <family val="2"/>
      </rPr>
      <t>NIT:</t>
    </r>
    <r>
      <rPr>
        <sz val="10"/>
        <color theme="1"/>
        <rFont val="Arial"/>
        <family val="2"/>
      </rPr>
      <t xml:space="preserve"> 900.017.447‑8
</t>
    </r>
    <r>
      <rPr>
        <b/>
        <sz val="10"/>
        <color theme="1"/>
        <rFont val="Arial"/>
        <family val="2"/>
      </rPr>
      <t>Dirección:</t>
    </r>
    <r>
      <rPr>
        <sz val="10"/>
        <color theme="1"/>
        <rFont val="Arial"/>
        <family val="2"/>
      </rPr>
      <t xml:space="preserve"> Carrera 7 No. 113‑43, Bogotá D.C., Colombia
</t>
    </r>
    <r>
      <rPr>
        <b/>
        <sz val="10"/>
        <color theme="1"/>
        <rFont val="Arial"/>
        <family val="2"/>
      </rPr>
      <t>Teléfono:</t>
    </r>
    <r>
      <rPr>
        <sz val="10"/>
        <color theme="1"/>
        <rFont val="Arial"/>
        <family val="2"/>
      </rPr>
      <t xml:space="preserve"> (601) 587 8000</t>
    </r>
  </si>
  <si>
    <r>
      <rPr>
        <b/>
        <sz val="10"/>
        <rFont val="Arial"/>
        <family val="2"/>
      </rPr>
      <t xml:space="preserve">Tax ID (EE.UU.): </t>
    </r>
    <r>
      <rPr>
        <sz val="10"/>
        <rFont val="Arial"/>
        <family val="2"/>
      </rPr>
      <t xml:space="preserve">91‑1646860
</t>
    </r>
    <r>
      <rPr>
        <b/>
        <sz val="10"/>
        <rFont val="Arial"/>
        <family val="2"/>
      </rPr>
      <t xml:space="preserve">Dirección: </t>
    </r>
    <r>
      <rPr>
        <sz val="10"/>
        <rFont val="Arial"/>
        <family val="2"/>
      </rPr>
      <t xml:space="preserve">410 Terry Ave N, Seattle, WA 98109, United States
</t>
    </r>
    <r>
      <rPr>
        <b/>
        <sz val="10"/>
        <rFont val="Arial"/>
        <family val="2"/>
      </rPr>
      <t xml:space="preserve">Teléfono: </t>
    </r>
    <r>
      <rPr>
        <sz val="10"/>
        <rFont val="Arial"/>
        <family val="2"/>
      </rPr>
      <t>+1 (206) 266‑1000</t>
    </r>
  </si>
  <si>
    <r>
      <t xml:space="preserve">Pantalla: </t>
    </r>
    <r>
      <rPr>
        <sz val="10"/>
        <rFont val="Arial"/>
        <family val="2"/>
      </rPr>
      <t xml:space="preserve">21.5 pulgadas, resolución 1920x1080 (Full HD), Panel VA. 
</t>
    </r>
    <r>
      <rPr>
        <b/>
        <sz val="10"/>
        <rFont val="Arial"/>
        <family val="2"/>
      </rPr>
      <t xml:space="preserve">Imagen: </t>
    </r>
    <r>
      <rPr>
        <sz val="10"/>
        <rFont val="Arial"/>
        <family val="2"/>
      </rPr>
      <t xml:space="preserve">16:9, sRGB 99%, 250 cd/m² de brillo, HDR 10.
</t>
    </r>
    <r>
      <rPr>
        <b/>
        <sz val="10"/>
        <rFont val="Arial"/>
        <family val="2"/>
      </rPr>
      <t xml:space="preserve"> Rendimiento: </t>
    </r>
    <r>
      <rPr>
        <sz val="10"/>
        <rFont val="Arial"/>
        <family val="2"/>
      </rPr>
      <t>100 Hz de tasa de refresco, 5 ms (GtG más rápido) de tiempo de respuesta.</t>
    </r>
    <r>
      <rPr>
        <b/>
        <sz val="10"/>
        <rFont val="Arial"/>
        <family val="2"/>
      </rPr>
      <t xml:space="preserve"> 
Conectividad: </t>
    </r>
    <r>
      <rPr>
        <sz val="10"/>
        <rFont val="Arial"/>
        <family val="2"/>
      </rPr>
      <t>1x D-Sub, 1x HDMI.</t>
    </r>
    <r>
      <rPr>
        <b/>
        <sz val="10"/>
        <rFont val="Arial"/>
        <family val="2"/>
      </rPr>
      <t xml:space="preserve"> 
Mecánico: </t>
    </r>
    <r>
      <rPr>
        <sz val="10"/>
        <rFont val="Arial"/>
        <family val="2"/>
      </rPr>
      <t>Ajuste de ladeo, 492.5 x 378.4 x 200.8 mm, 2.3 Kg.</t>
    </r>
  </si>
  <si>
    <r>
      <rPr>
        <b/>
        <sz val="10"/>
        <rFont val="Arial"/>
        <family val="2"/>
      </rPr>
      <t xml:space="preserve">NIT: </t>
    </r>
    <r>
      <rPr>
        <sz val="10"/>
        <rFont val="Arial"/>
        <family val="2"/>
      </rPr>
      <t xml:space="preserve">890.900.943‑1
</t>
    </r>
    <r>
      <rPr>
        <b/>
        <sz val="10"/>
        <rFont val="Arial"/>
        <family val="2"/>
      </rPr>
      <t>Dirección:</t>
    </r>
    <r>
      <rPr>
        <sz val="10"/>
        <rFont val="Arial"/>
        <family val="2"/>
      </rPr>
      <t xml:space="preserve"> Calle 170 No. 92‑97, Bogotá D.C., Colombia
</t>
    </r>
    <r>
      <rPr>
        <b/>
        <sz val="10"/>
        <rFont val="Arial"/>
        <family val="2"/>
      </rPr>
      <t>Teléfono:</t>
    </r>
    <r>
      <rPr>
        <sz val="10"/>
        <rFont val="Arial"/>
        <family val="2"/>
      </rPr>
      <t xml:space="preserve"> (601) 407 3033</t>
    </r>
  </si>
  <si>
    <r>
      <rPr>
        <b/>
        <sz val="10"/>
        <rFont val="Arial"/>
        <family val="2"/>
      </rPr>
      <t>Rendimiento:</t>
    </r>
    <r>
      <rPr>
        <sz val="10"/>
        <rFont val="Arial"/>
        <family val="2"/>
      </rPr>
      <t xml:space="preserve"> 100 Hz de tasa de refresco, 1ms de tiempo de respuesta. 
</t>
    </r>
    <r>
      <rPr>
        <b/>
        <sz val="10"/>
        <rFont val="Arial"/>
        <family val="2"/>
      </rPr>
      <t>Imagen:</t>
    </r>
    <r>
      <rPr>
        <sz val="10"/>
        <rFont val="Arial"/>
        <family val="2"/>
      </rPr>
      <t xml:space="preserve"> Full HD (imágenes claras y vívidas). 
</t>
    </r>
    <r>
      <rPr>
        <b/>
        <sz val="10"/>
        <rFont val="Arial"/>
        <family val="2"/>
      </rPr>
      <t>Diseño:</t>
    </r>
    <r>
      <rPr>
        <sz val="10"/>
        <rFont val="Arial"/>
        <family val="2"/>
      </rPr>
      <t xml:space="preserve"> Elegante, sin marco (frameless).</t>
    </r>
  </si>
  <si>
    <r>
      <rPr>
        <b/>
        <sz val="10"/>
        <rFont val="Arial"/>
        <family val="2"/>
      </rPr>
      <t>NIT:</t>
    </r>
    <r>
      <rPr>
        <sz val="10"/>
        <rFont val="Arial"/>
        <family val="2"/>
      </rPr>
      <t xml:space="preserve"> 900.017.447‑8
</t>
    </r>
    <r>
      <rPr>
        <b/>
        <sz val="10"/>
        <rFont val="Arial"/>
        <family val="2"/>
      </rPr>
      <t>Dirección:</t>
    </r>
    <r>
      <rPr>
        <sz val="10"/>
        <rFont val="Arial"/>
        <family val="2"/>
      </rPr>
      <t xml:space="preserve"> Carrera 7 No. 113‑43, Bogotá D.C., Colombia
</t>
    </r>
    <r>
      <rPr>
        <b/>
        <sz val="10"/>
        <rFont val="Arial"/>
        <family val="2"/>
      </rPr>
      <t>Teléfono:</t>
    </r>
    <r>
      <rPr>
        <sz val="10"/>
        <rFont val="Arial"/>
        <family val="2"/>
      </rPr>
      <t xml:space="preserve"> (601) 587 8000</t>
    </r>
  </si>
  <si>
    <r>
      <rPr>
        <b/>
        <sz val="10"/>
        <rFont val="Arial"/>
        <family val="2"/>
      </rPr>
      <t>Monitor:</t>
    </r>
    <r>
      <rPr>
        <sz val="10"/>
        <rFont val="Arial"/>
        <family val="2"/>
      </rPr>
      <t xml:space="preserve"> 21.5 pulgadas, VA Panel, Full HD (1920x1080) </t>
    </r>
    <r>
      <rPr>
        <b/>
        <sz val="10"/>
        <rFont val="Arial"/>
        <family val="2"/>
      </rPr>
      <t>Rendimiento Visual:</t>
    </r>
    <r>
      <rPr>
        <sz val="10"/>
        <rFont val="Arial"/>
        <family val="2"/>
      </rPr>
      <t xml:space="preserve"> sRGB 99%, 250 cd/m² brillo, 100 Hz tasa de refresco, 5ms tiempo de respuesta. 
</t>
    </r>
    <r>
      <rPr>
        <b/>
        <sz val="10"/>
        <rFont val="Arial"/>
        <family val="2"/>
      </rPr>
      <t>Características:</t>
    </r>
    <r>
      <rPr>
        <sz val="10"/>
        <rFont val="Arial"/>
        <family val="2"/>
      </rPr>
      <t xml:space="preserve"> Compatible con HDR 10. 
</t>
    </r>
    <r>
      <rPr>
        <b/>
        <sz val="10"/>
        <rFont val="Arial"/>
        <family val="2"/>
      </rPr>
      <t>Conectividad:</t>
    </r>
    <r>
      <rPr>
        <sz val="10"/>
        <rFont val="Arial"/>
        <family val="2"/>
      </rPr>
      <t xml:space="preserve"> 1x D-Sub, 1x HDMI. 
</t>
    </r>
    <r>
      <rPr>
        <b/>
        <sz val="10"/>
        <rFont val="Arial"/>
        <family val="2"/>
      </rPr>
      <t>Diseño:</t>
    </r>
    <r>
      <rPr>
        <sz val="10"/>
        <rFont val="Arial"/>
        <family val="2"/>
      </rPr>
      <t xml:space="preserve"> Ajuste de ladeo, 492.5 x 378.4 x 200.8 mm, 2.3 Kg.</t>
    </r>
  </si>
  <si>
    <r>
      <rPr>
        <b/>
        <sz val="10"/>
        <rFont val="Arial"/>
        <family val="2"/>
      </rPr>
      <t>Tax ID (EE.UU.):</t>
    </r>
    <r>
      <rPr>
        <sz val="10"/>
        <rFont val="Arial"/>
        <family val="2"/>
      </rPr>
      <t xml:space="preserve"> 91‑1646860
</t>
    </r>
    <r>
      <rPr>
        <b/>
        <sz val="10"/>
        <rFont val="Arial"/>
        <family val="2"/>
      </rPr>
      <t>Dirección:</t>
    </r>
    <r>
      <rPr>
        <sz val="10"/>
        <rFont val="Arial"/>
        <family val="2"/>
      </rPr>
      <t xml:space="preserve"> 410 Terry Ave N, Seattle, WA 98109, United States
</t>
    </r>
    <r>
      <rPr>
        <b/>
        <sz val="10"/>
        <rFont val="Arial"/>
        <family val="2"/>
      </rPr>
      <t>Teléfono:</t>
    </r>
    <r>
      <rPr>
        <sz val="10"/>
        <rFont val="Arial"/>
        <family val="2"/>
      </rPr>
      <t xml:space="preserve"> +1 (206) 266‑1000</t>
    </r>
  </si>
  <si>
    <r>
      <t xml:space="preserve">Marca/Serie: </t>
    </r>
    <r>
      <rPr>
        <sz val="10"/>
        <color rgb="FF333333"/>
        <rFont val="Arial"/>
        <family val="2"/>
      </rPr>
      <t>Dell Optiplex 3060 (PC)</t>
    </r>
    <r>
      <rPr>
        <b/>
        <sz val="10"/>
        <color rgb="FF333333"/>
        <rFont val="Arial"/>
        <family val="2"/>
      </rPr>
      <t xml:space="preserve">
Procesador: </t>
    </r>
    <r>
      <rPr>
        <sz val="10"/>
        <color rgb="FF333333"/>
        <rFont val="Arial"/>
        <family val="2"/>
      </rPr>
      <t>Intel Core i5-8500 (3.2 GHz, 6 núcleos)</t>
    </r>
    <r>
      <rPr>
        <b/>
        <sz val="10"/>
        <color rgb="FF333333"/>
        <rFont val="Arial"/>
        <family val="2"/>
      </rPr>
      <t xml:space="preserve">
RAM: </t>
    </r>
    <r>
      <rPr>
        <sz val="10"/>
        <color rgb="FF333333"/>
        <rFont val="Arial"/>
        <family val="2"/>
      </rPr>
      <t>32GB DDR4 (2666 MHz)</t>
    </r>
    <r>
      <rPr>
        <b/>
        <sz val="10"/>
        <color rgb="FF333333"/>
        <rFont val="Arial"/>
        <family val="2"/>
      </rPr>
      <t xml:space="preserve">
Almacenamiento: </t>
    </r>
    <r>
      <rPr>
        <sz val="10"/>
        <color rgb="FF333333"/>
        <rFont val="Arial"/>
        <family val="2"/>
      </rPr>
      <t>1 TB SSD</t>
    </r>
    <r>
      <rPr>
        <b/>
        <sz val="10"/>
        <color rgb="FF333333"/>
        <rFont val="Arial"/>
        <family val="2"/>
      </rPr>
      <t xml:space="preserve">
Gráficos: </t>
    </r>
    <r>
      <rPr>
        <sz val="10"/>
        <color rgb="FF333333"/>
        <rFont val="Arial"/>
        <family val="2"/>
      </rPr>
      <t>Intel HD Graphics 630 (Integrado)</t>
    </r>
    <r>
      <rPr>
        <b/>
        <sz val="10"/>
        <color rgb="FF333333"/>
        <rFont val="Arial"/>
        <family val="2"/>
      </rPr>
      <t xml:space="preserve">
Resolución de Pantalla: </t>
    </r>
    <r>
      <rPr>
        <sz val="10"/>
        <color rgb="FF333333"/>
        <rFont val="Arial"/>
        <family val="2"/>
      </rPr>
      <t>3840 x 2160</t>
    </r>
    <r>
      <rPr>
        <b/>
        <sz val="10"/>
        <color rgb="FF333333"/>
        <rFont val="Arial"/>
        <family val="2"/>
      </rPr>
      <t xml:space="preserve">
OS: </t>
    </r>
    <r>
      <rPr>
        <sz val="10"/>
        <color rgb="FF333333"/>
        <rFont val="Arial"/>
        <family val="2"/>
      </rPr>
      <t>Windows 11 Pro</t>
    </r>
    <r>
      <rPr>
        <b/>
        <sz val="10"/>
        <color rgb="FF333333"/>
        <rFont val="Arial"/>
        <family val="2"/>
      </rPr>
      <t xml:space="preserve">
Conectividad: </t>
    </r>
    <r>
      <rPr>
        <sz val="10"/>
        <color rgb="FF333333"/>
        <rFont val="Arial"/>
        <family val="2"/>
      </rPr>
      <t>Wi-Fi 802.11ax, 4x USB 2.0, 2x USB 3.0</t>
    </r>
  </si>
  <si>
    <r>
      <rPr>
        <b/>
        <sz val="10"/>
        <rFont val="Arial"/>
        <family val="2"/>
      </rPr>
      <t>NIT:</t>
    </r>
    <r>
      <rPr>
        <sz val="10"/>
        <rFont val="Arial"/>
        <family val="2"/>
      </rPr>
      <t xml:space="preserve"> 900.516.238‑3
</t>
    </r>
    <r>
      <rPr>
        <b/>
        <sz val="10"/>
        <rFont val="Arial"/>
        <family val="2"/>
      </rPr>
      <t>Dirección:</t>
    </r>
    <r>
      <rPr>
        <sz val="10"/>
        <rFont val="Arial"/>
        <family val="2"/>
      </rPr>
      <t xml:space="preserve"> Carrera 11 # 94A‑25, Bogotá D.C., Colombia
</t>
    </r>
    <r>
      <rPr>
        <b/>
        <sz val="10"/>
        <rFont val="Arial"/>
        <family val="2"/>
      </rPr>
      <t>Teléfono:</t>
    </r>
    <r>
      <rPr>
        <sz val="10"/>
        <rFont val="Arial"/>
        <family val="2"/>
      </rPr>
      <t xml:space="preserve"> No publica línea fija directa (atención digital)</t>
    </r>
  </si>
  <si>
    <r>
      <rPr>
        <b/>
        <sz val="10"/>
        <color rgb="FF333333"/>
        <rFont val="Arial"/>
        <family val="2"/>
      </rPr>
      <t>Tipo:</t>
    </r>
    <r>
      <rPr>
        <sz val="10"/>
        <color rgb="FF333333"/>
        <rFont val="Arial"/>
        <family val="2"/>
      </rPr>
      <t xml:space="preserve"> Computador de Escritorio Janus Procesador: Intel Core i3-10105F    (4 núcleos, 4.3 GHz) 
</t>
    </r>
    <r>
      <rPr>
        <b/>
        <sz val="10"/>
        <color rgb="FF333333"/>
        <rFont val="Arial"/>
        <family val="2"/>
      </rPr>
      <t>RAM:</t>
    </r>
    <r>
      <rPr>
        <sz val="10"/>
        <color rgb="FF333333"/>
        <rFont val="Arial"/>
        <family val="2"/>
      </rPr>
      <t xml:space="preserve"> 8GB DDR4 (3200MHz, expandible a 64GB) 
</t>
    </r>
    <r>
      <rPr>
        <b/>
        <sz val="10"/>
        <color rgb="FF333333"/>
        <rFont val="Arial"/>
        <family val="2"/>
      </rPr>
      <t>Almacenamiento:</t>
    </r>
    <r>
      <rPr>
        <sz val="10"/>
        <color rgb="FF333333"/>
        <rFont val="Arial"/>
        <family val="2"/>
      </rPr>
      <t xml:space="preserve"> SSD 512GB 
</t>
    </r>
    <r>
      <rPr>
        <b/>
        <sz val="10"/>
        <color rgb="FF333333"/>
        <rFont val="Arial"/>
        <family val="2"/>
      </rPr>
      <t>Gráficos:</t>
    </r>
    <r>
      <rPr>
        <sz val="10"/>
        <color rgb="FF333333"/>
        <rFont val="Arial"/>
        <family val="2"/>
      </rPr>
      <t xml:space="preserve"> Tarjeta de video N210 1GB DDR3 
</t>
    </r>
    <r>
      <rPr>
        <b/>
        <sz val="10"/>
        <color rgb="FF333333"/>
        <rFont val="Arial"/>
        <family val="2"/>
      </rPr>
      <t>Incluye:</t>
    </r>
    <r>
      <rPr>
        <sz val="10"/>
        <color rgb="FF333333"/>
        <rFont val="Arial"/>
        <family val="2"/>
      </rPr>
      <t xml:space="preserve"> Monitor Full HD de 22", teclado y mouse inalámbricos.</t>
    </r>
  </si>
  <si>
    <r>
      <t xml:space="preserve">Tipo: </t>
    </r>
    <r>
      <rPr>
        <sz val="10"/>
        <color rgb="FF333333"/>
        <rFont val="Arial"/>
        <family val="2"/>
      </rPr>
      <t>Escritorio</t>
    </r>
    <r>
      <rPr>
        <b/>
        <sz val="10"/>
        <color rgb="FF333333"/>
        <rFont val="Arial"/>
        <family val="2"/>
      </rPr>
      <t xml:space="preserve"> 
Procesador: </t>
    </r>
    <r>
      <rPr>
        <sz val="10"/>
        <color rgb="FF333333"/>
        <rFont val="Arial"/>
        <family val="2"/>
      </rPr>
      <t xml:space="preserve">AMD Ryzen 5 5600GT (Hexa core, 4.6 GHz) 
</t>
    </r>
    <r>
      <rPr>
        <b/>
        <sz val="10"/>
        <color rgb="FF333333"/>
        <rFont val="Arial"/>
        <family val="2"/>
      </rPr>
      <t xml:space="preserve">RAM: </t>
    </r>
    <r>
      <rPr>
        <sz val="10"/>
        <color rgb="FF333333"/>
        <rFont val="Arial"/>
        <family val="2"/>
      </rPr>
      <t xml:space="preserve">16GB Almacenamiento: 512 GB </t>
    </r>
    <r>
      <rPr>
        <b/>
        <sz val="10"/>
        <color rgb="FF333333"/>
        <rFont val="Arial"/>
        <family val="2"/>
      </rPr>
      <t xml:space="preserve">
Gráficos: </t>
    </r>
    <r>
      <rPr>
        <sz val="10"/>
        <color rgb="FF333333"/>
        <rFont val="Arial"/>
        <family val="2"/>
      </rPr>
      <t>AMD Radeon Graphics (Integrada, 2GB)</t>
    </r>
    <r>
      <rPr>
        <b/>
        <sz val="10"/>
        <color rgb="FF333333"/>
        <rFont val="Arial"/>
        <family val="2"/>
      </rPr>
      <t xml:space="preserve"> 
OS: </t>
    </r>
    <r>
      <rPr>
        <sz val="10"/>
        <color rgb="FF333333"/>
        <rFont val="Arial"/>
        <family val="2"/>
      </rPr>
      <t xml:space="preserve">Windows 11 (versión de prueba) </t>
    </r>
  </si>
  <si>
    <r>
      <rPr>
        <b/>
        <sz val="10"/>
        <color rgb="FF333333"/>
        <rFont val="Arial"/>
        <family val="2"/>
      </rPr>
      <t>Genius con cable:</t>
    </r>
    <r>
      <rPr>
        <sz val="10"/>
        <color rgb="FF333333"/>
        <rFont val="Arial"/>
        <family val="2"/>
      </rPr>
      <t xml:space="preserve"> Sensor óptico 1000 DPI (control suave).   
</t>
    </r>
    <r>
      <rPr>
        <b/>
        <sz val="10"/>
        <color rgb="FF333333"/>
        <rFont val="Arial"/>
        <family val="2"/>
      </rPr>
      <t>Fácil:</t>
    </r>
    <r>
      <rPr>
        <sz val="10"/>
        <color rgb="FF333333"/>
        <rFont val="Arial"/>
        <family val="2"/>
      </rPr>
      <t xml:space="preserve"> Plug &amp; Play USB. 
</t>
    </r>
    <r>
      <rPr>
        <b/>
        <sz val="10"/>
        <color rgb="FF333333"/>
        <rFont val="Arial"/>
        <family val="2"/>
      </rPr>
      <t>Comodidad:</t>
    </r>
    <r>
      <rPr>
        <sz val="10"/>
        <color rgb="FF333333"/>
        <rFont val="Arial"/>
        <family val="2"/>
      </rPr>
      <t xml:space="preserve"> Diseño ergonómico. 
</t>
    </r>
    <r>
      <rPr>
        <b/>
        <sz val="10"/>
        <color rgb="FF333333"/>
        <rFont val="Arial"/>
        <family val="2"/>
      </rPr>
      <t xml:space="preserve">Duradero: </t>
    </r>
    <r>
      <rPr>
        <sz val="10"/>
        <color rgb="FF333333"/>
        <rFont val="Arial"/>
        <family val="2"/>
      </rPr>
      <t xml:space="preserve">Alta calidad Genius. 
</t>
    </r>
    <r>
      <rPr>
        <b/>
        <sz val="10"/>
        <color rgb="FF333333"/>
        <rFont val="Arial"/>
        <family val="2"/>
      </rPr>
      <t>Compatibilidad:</t>
    </r>
    <r>
      <rPr>
        <sz val="10"/>
        <color rgb="FF333333"/>
        <rFont val="Arial"/>
        <family val="2"/>
      </rPr>
      <t xml:space="preserve"> Windows y macOS.</t>
    </r>
  </si>
  <si>
    <r>
      <rPr>
        <b/>
        <sz val="10"/>
        <color rgb="FF333333"/>
        <rFont val="Arial"/>
        <family val="2"/>
      </rPr>
      <t>TECKNET con cable:</t>
    </r>
    <r>
      <rPr>
        <sz val="10"/>
        <color rgb="FF333333"/>
        <rFont val="Arial"/>
        <family val="2"/>
      </rPr>
      <t xml:space="preserve"> Precisión Tru-Wave (funciona en vidrio), 6 millones de clics de durabilidad.
</t>
    </r>
    <r>
      <rPr>
        <b/>
        <sz val="10"/>
        <color rgb="FF333333"/>
        <rFont val="Arial"/>
        <family val="2"/>
      </rPr>
      <t>Ajustable:</t>
    </r>
    <r>
      <rPr>
        <sz val="10"/>
        <color rgb="FF333333"/>
        <rFont val="Arial"/>
        <family val="2"/>
      </rPr>
      <t xml:space="preserve"> 4 DPI (1000-6400), 6 botones programables.
</t>
    </r>
    <r>
      <rPr>
        <b/>
        <sz val="10"/>
        <color rgb="FF333333"/>
        <rFont val="Arial"/>
        <family val="2"/>
      </rPr>
      <t>Ergonómico:</t>
    </r>
    <r>
      <rPr>
        <sz val="10"/>
        <color rgb="FF333333"/>
        <rFont val="Arial"/>
        <family val="2"/>
      </rPr>
      <t xml:space="preserve"> Diseño cómodo, agarres de goma.
</t>
    </r>
    <r>
      <rPr>
        <b/>
        <sz val="10"/>
        <color rgb="FF333333"/>
        <rFont val="Arial"/>
        <family val="2"/>
      </rPr>
      <t>Plug &amp; Play:</t>
    </r>
    <r>
      <rPr>
        <sz val="10"/>
        <color rgb="FF333333"/>
        <rFont val="Arial"/>
        <family val="2"/>
      </rPr>
      <t xml:space="preserve"> USB, sin baterías, cable de 1.5m.
</t>
    </r>
    <r>
      <rPr>
        <b/>
        <sz val="10"/>
        <color rgb="FF333333"/>
        <rFont val="Arial"/>
        <family val="2"/>
      </rPr>
      <t>Compatibilidad:</t>
    </r>
    <r>
      <rPr>
        <sz val="10"/>
        <color rgb="FF333333"/>
        <rFont val="Arial"/>
        <family val="2"/>
      </rPr>
      <t xml:space="preserve"> Windows, Chromebook (botones laterales no en Mac).</t>
    </r>
  </si>
  <si>
    <r>
      <rPr>
        <b/>
        <sz val="10"/>
        <color theme="1"/>
        <rFont val="Arial"/>
        <family val="2"/>
      </rPr>
      <t>Registro:</t>
    </r>
    <r>
      <rPr>
        <sz val="10"/>
        <color theme="1"/>
        <rFont val="Arial"/>
        <family val="2"/>
      </rPr>
      <t xml:space="preserve"> CHE‑101.595.431 (Suiza)
</t>
    </r>
    <r>
      <rPr>
        <b/>
        <sz val="10"/>
        <color theme="1"/>
        <rFont val="Arial"/>
        <family val="2"/>
      </rPr>
      <t>Dirección:</t>
    </r>
    <r>
      <rPr>
        <sz val="10"/>
        <color theme="1"/>
        <rFont val="Arial"/>
        <family val="2"/>
      </rPr>
      <t xml:space="preserve"> Daniel Borel Innovation Center, CH‑1015 Lausanne, Switzerland
</t>
    </r>
    <r>
      <rPr>
        <b/>
        <sz val="10"/>
        <color theme="1"/>
        <rFont val="Arial"/>
        <family val="2"/>
      </rPr>
      <t>Teléfono:</t>
    </r>
    <r>
      <rPr>
        <sz val="10"/>
        <color theme="1"/>
        <rFont val="Arial"/>
        <family val="2"/>
      </rPr>
      <t xml:space="preserve"> +41 21 863 55 11</t>
    </r>
  </si>
  <si>
    <r>
      <t xml:space="preserve">Logitech G (Gaming): </t>
    </r>
    <r>
      <rPr>
        <sz val="10"/>
        <color rgb="FF333333"/>
        <rFont val="Arial"/>
        <family val="2"/>
      </rPr>
      <t xml:space="preserve">Sensor ajustable 200-8000 DPI. </t>
    </r>
    <r>
      <rPr>
        <b/>
        <sz val="10"/>
        <color rgb="FF333333"/>
        <rFont val="Arial"/>
        <family val="2"/>
      </rPr>
      <t xml:space="preserve">
Personalización: </t>
    </r>
    <r>
      <rPr>
        <sz val="10"/>
        <color rgb="FF333333"/>
        <rFont val="Arial"/>
        <family val="2"/>
      </rPr>
      <t xml:space="preserve">Iluminación RGB LIGHTSYNC (16,8M colores), 6 botones programables (vía Logitech G HUB). </t>
    </r>
    <r>
      <rPr>
        <b/>
        <sz val="10"/>
        <color rgb="FF333333"/>
        <rFont val="Arial"/>
        <family val="2"/>
      </rPr>
      <t xml:space="preserve">
Rendimiento: </t>
    </r>
    <r>
      <rPr>
        <sz val="10"/>
        <color rgb="FF333333"/>
        <rFont val="Arial"/>
        <family val="2"/>
      </rPr>
      <t>Sistema de tensión de botones con resortes metálicos.</t>
    </r>
    <r>
      <rPr>
        <b/>
        <sz val="10"/>
        <color rgb="FF333333"/>
        <rFont val="Arial"/>
        <family val="2"/>
      </rPr>
      <t xml:space="preserve">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</si>
</sst>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6" formatCode="&quot;$&quot;\ #,##0;[Red]\-&quot;$&quot;\ #,##0"/>
    <numFmt numFmtId="8" formatCode="&quot;$&quot;\ #,##0.00;[Red]\-&quot;$&quot;\ #,##0.00"/>
    <numFmt numFmtId="44" formatCode="_-&quot;$&quot;\ * #,##0.00_-;\-&quot;$&quot;\ * #,##0.00_-;_-&quot;$&quot;\ * &quot;-&quot;??_-;_-@_-"/>
  </numFmts>
  <fonts count="2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sz val="10"/>
      <color rgb="FF333333"/>
      <name val="Times New Roman"/>
      <family val="1"/>
    </font>
    <font>
      <b/>
      <sz val="10"/>
      <color rgb="FF333333"/>
      <name val="Times New Roman"/>
      <family val="1"/>
    </font>
    <font>
      <u/>
      <sz val="11"/>
      <color theme="10"/>
      <name val="Aptos Narrow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sz val="11"/>
      <name val="Arial"/>
      <family val="2"/>
    </font>
    <font>
      <b/>
      <sz val="10"/>
      <color theme="1"/>
      <name val="Arial"/>
      <family val="2"/>
    </font>
    <font>
      <b/>
      <u/>
      <sz val="10"/>
      <color theme="1"/>
      <name val="Arial"/>
      <family val="2"/>
    </font>
    <font>
      <b/>
      <i/>
      <sz val="10"/>
      <color theme="1"/>
      <name val="Arial"/>
      <family val="2"/>
    </font>
    <font>
      <sz val="10"/>
      <color theme="1"/>
      <name val="Arial"/>
      <family val="2"/>
    </font>
    <font>
      <u/>
      <sz val="11"/>
      <color theme="10"/>
      <name val="Arial"/>
      <family val="2"/>
    </font>
    <font>
      <u/>
      <sz val="10"/>
      <color theme="10"/>
      <name val="Arial"/>
      <family val="2"/>
    </font>
    <font>
      <sz val="10"/>
      <color rgb="FF0F1111"/>
      <name val="Arial"/>
      <family val="2"/>
    </font>
    <font>
      <sz val="10"/>
      <color rgb="FF333333"/>
      <name val="Arial"/>
      <family val="2"/>
    </font>
    <font>
      <b/>
      <sz val="10"/>
      <color rgb="FF333333"/>
      <name val="Arial"/>
      <family val="2"/>
    </font>
    <font>
      <sz val="10"/>
      <color rgb="FF444444"/>
      <name val="Arial"/>
      <family val="2"/>
    </font>
    <font>
      <b/>
      <u/>
      <sz val="10"/>
      <name val="Arial"/>
      <family val="2"/>
    </font>
    <font>
      <b/>
      <i/>
      <sz val="10"/>
      <name val="Arial"/>
      <family val="2"/>
    </font>
    <font>
      <u/>
      <sz val="10"/>
      <color theme="7" tint="-0.249977111117893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rgb="FFF3F3F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0" fontId="6" fillId="0" borderId="0" applyNumberFormat="0" applyFill="0" applyBorder="0" applyAlignment="0" applyProtection="0"/>
  </cellStyleXfs>
  <cellXfs count="52">
    <xf numFmtId="0" fontId="0" fillId="0" borderId="0" xfId="0"/>
    <xf numFmtId="44" fontId="0" fillId="0" borderId="0" xfId="0" applyNumberFormat="1"/>
    <xf numFmtId="44" fontId="0" fillId="0" borderId="0" xfId="1" applyNumberFormat="1" applyFont="1"/>
    <xf numFmtId="0" fontId="0" fillId="0" borderId="0" xfId="0" applyBorder="1"/>
    <xf numFmtId="44" fontId="2" fillId="2" borderId="0" xfId="1" applyNumberFormat="1" applyFont="1" applyFill="1" applyBorder="1" applyAlignment="1">
      <alignment horizontal="center" vertical="center" wrapText="1"/>
    </xf>
    <xf numFmtId="0" fontId="2" fillId="2" borderId="0" xfId="0" applyFont="1" applyFill="1" applyBorder="1" applyAlignment="1">
      <alignment horizontal="center" vertical="center" wrapText="1"/>
    </xf>
    <xf numFmtId="44" fontId="3" fillId="0" borderId="0" xfId="1" applyFont="1" applyBorder="1" applyAlignment="1">
      <alignment horizontal="center" vertical="center" wrapText="1"/>
    </xf>
    <xf numFmtId="44" fontId="3" fillId="0" borderId="0" xfId="1" applyNumberFormat="1" applyFont="1" applyBorder="1" applyAlignment="1">
      <alignment horizontal="center" vertical="center" wrapText="1"/>
    </xf>
    <xf numFmtId="8" fontId="3" fillId="0" borderId="0" xfId="0" applyNumberFormat="1" applyFont="1" applyBorder="1" applyAlignment="1">
      <alignment horizontal="center" vertical="center" wrapText="1"/>
    </xf>
    <xf numFmtId="0" fontId="3" fillId="0" borderId="0" xfId="0" applyFont="1" applyBorder="1" applyAlignment="1">
      <alignment horizontal="center" vertical="center" wrapText="1"/>
    </xf>
    <xf numFmtId="0" fontId="4" fillId="3" borderId="0" xfId="0" applyFont="1" applyFill="1" applyBorder="1" applyAlignment="1">
      <alignment horizontal="center" vertical="center" wrapText="1"/>
    </xf>
    <xf numFmtId="0" fontId="5" fillId="3" borderId="0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7" fillId="8" borderId="1" xfId="0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8" fillId="0" borderId="1" xfId="2" applyFont="1" applyBorder="1" applyAlignment="1">
      <alignment horizontal="center" vertical="center" wrapText="1"/>
    </xf>
    <xf numFmtId="6" fontId="8" fillId="0" borderId="1" xfId="0" applyNumberFormat="1" applyFont="1" applyBorder="1" applyAlignment="1">
      <alignment horizontal="center" vertical="center" wrapText="1"/>
    </xf>
    <xf numFmtId="0" fontId="8" fillId="3" borderId="1" xfId="0" applyFont="1" applyFill="1" applyBorder="1" applyAlignment="1">
      <alignment horizontal="center" vertical="center" wrapText="1"/>
    </xf>
    <xf numFmtId="6" fontId="8" fillId="0" borderId="1" xfId="1" applyNumberFormat="1" applyFont="1" applyBorder="1" applyAlignment="1">
      <alignment horizontal="center" vertical="center" wrapText="1"/>
    </xf>
    <xf numFmtId="44" fontId="8" fillId="0" borderId="1" xfId="0" applyNumberFormat="1" applyFont="1" applyBorder="1" applyAlignment="1">
      <alignment horizontal="center" vertical="center" wrapText="1"/>
    </xf>
    <xf numFmtId="0" fontId="9" fillId="0" borderId="0" xfId="0" applyFont="1"/>
    <xf numFmtId="0" fontId="7" fillId="9" borderId="1" xfId="0" applyFont="1" applyFill="1" applyBorder="1" applyAlignment="1">
      <alignment horizontal="center" vertical="center" wrapText="1"/>
    </xf>
    <xf numFmtId="0" fontId="10" fillId="6" borderId="1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 wrapText="1"/>
    </xf>
    <xf numFmtId="44" fontId="10" fillId="2" borderId="1" xfId="0" applyNumberFormat="1" applyFont="1" applyFill="1" applyBorder="1" applyAlignment="1">
      <alignment horizontal="center" vertical="center" wrapText="1"/>
    </xf>
    <xf numFmtId="0" fontId="11" fillId="4" borderId="1" xfId="0" applyFont="1" applyFill="1" applyBorder="1" applyAlignment="1">
      <alignment horizontal="center" vertical="center" wrapText="1"/>
    </xf>
    <xf numFmtId="44" fontId="10" fillId="5" borderId="1" xfId="1" applyNumberFormat="1" applyFont="1" applyFill="1" applyBorder="1" applyAlignment="1">
      <alignment horizontal="center" vertical="center" wrapText="1"/>
    </xf>
    <xf numFmtId="0" fontId="10" fillId="7" borderId="1" xfId="0" applyFont="1" applyFill="1" applyBorder="1" applyAlignment="1">
      <alignment horizontal="center" vertical="center" wrapText="1"/>
    </xf>
    <xf numFmtId="0" fontId="8" fillId="10" borderId="1" xfId="0" applyFont="1" applyFill="1" applyBorder="1" applyAlignment="1">
      <alignment horizontal="center" vertical="center" wrapText="1"/>
    </xf>
    <xf numFmtId="0" fontId="13" fillId="0" borderId="1" xfId="0" applyFont="1" applyFill="1" applyBorder="1" applyAlignment="1">
      <alignment horizontal="center" vertical="center" wrapText="1"/>
    </xf>
    <xf numFmtId="44" fontId="8" fillId="0" borderId="1" xfId="1" applyFont="1" applyBorder="1" applyAlignment="1">
      <alignment horizontal="center" vertical="center" wrapText="1"/>
    </xf>
    <xf numFmtId="44" fontId="8" fillId="0" borderId="1" xfId="1" applyNumberFormat="1" applyFont="1" applyBorder="1" applyAlignment="1">
      <alignment horizontal="center" vertical="center" wrapText="1"/>
    </xf>
    <xf numFmtId="8" fontId="8" fillId="0" borderId="1" xfId="0" applyNumberFormat="1" applyFont="1" applyBorder="1" applyAlignment="1">
      <alignment horizontal="center" vertical="center" wrapText="1"/>
    </xf>
    <xf numFmtId="8" fontId="14" fillId="0" borderId="1" xfId="2" applyNumberFormat="1" applyFont="1" applyBorder="1" applyAlignment="1">
      <alignment horizontal="center" vertical="center" wrapText="1"/>
    </xf>
    <xf numFmtId="8" fontId="15" fillId="0" borderId="1" xfId="2" applyNumberFormat="1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6" fillId="3" borderId="1" xfId="0" applyFont="1" applyFill="1" applyBorder="1" applyAlignment="1">
      <alignment horizontal="center" vertical="center" wrapText="1"/>
    </xf>
    <xf numFmtId="44" fontId="13" fillId="0" borderId="1" xfId="1" applyNumberFormat="1" applyFont="1" applyBorder="1" applyAlignment="1">
      <alignment horizontal="center" vertical="center" wrapText="1"/>
    </xf>
    <xf numFmtId="44" fontId="13" fillId="0" borderId="1" xfId="1" applyFont="1" applyBorder="1" applyAlignment="1">
      <alignment horizontal="center" vertical="center" wrapText="1"/>
    </xf>
    <xf numFmtId="8" fontId="13" fillId="0" borderId="1" xfId="0" applyNumberFormat="1" applyFont="1" applyBorder="1" applyAlignment="1">
      <alignment horizontal="center" vertical="center" wrapText="1"/>
    </xf>
    <xf numFmtId="0" fontId="17" fillId="3" borderId="1" xfId="0" applyFont="1" applyFill="1" applyBorder="1" applyAlignment="1">
      <alignment horizontal="center" vertical="center" wrapText="1"/>
    </xf>
    <xf numFmtId="44" fontId="13" fillId="0" borderId="1" xfId="0" applyNumberFormat="1" applyFont="1" applyBorder="1" applyAlignment="1">
      <alignment horizontal="center" vertical="center" wrapText="1"/>
    </xf>
    <xf numFmtId="0" fontId="19" fillId="3" borderId="1" xfId="0" applyFont="1" applyFill="1" applyBorder="1" applyAlignment="1">
      <alignment horizontal="center" vertical="center" wrapText="1"/>
    </xf>
    <xf numFmtId="0" fontId="18" fillId="3" borderId="1" xfId="0" applyFont="1" applyFill="1" applyBorder="1" applyAlignment="1">
      <alignment horizontal="center" vertical="center" wrapText="1"/>
    </xf>
    <xf numFmtId="0" fontId="7" fillId="6" borderId="1" xfId="0" applyFont="1" applyFill="1" applyBorder="1" applyAlignment="1">
      <alignment horizontal="center" vertical="center" wrapText="1"/>
    </xf>
    <xf numFmtId="44" fontId="7" fillId="2" borderId="1" xfId="0" applyNumberFormat="1" applyFont="1" applyFill="1" applyBorder="1" applyAlignment="1">
      <alignment horizontal="center" vertical="center" wrapText="1"/>
    </xf>
    <xf numFmtId="0" fontId="20" fillId="4" borderId="1" xfId="0" applyFont="1" applyFill="1" applyBorder="1" applyAlignment="1">
      <alignment horizontal="center" vertical="center" wrapText="1"/>
    </xf>
    <xf numFmtId="44" fontId="7" fillId="5" borderId="1" xfId="1" applyNumberFormat="1" applyFont="1" applyFill="1" applyBorder="1" applyAlignment="1">
      <alignment horizontal="center" vertical="center" wrapText="1"/>
    </xf>
    <xf numFmtId="0" fontId="7" fillId="7" borderId="1" xfId="0" applyFont="1" applyFill="1" applyBorder="1" applyAlignment="1">
      <alignment horizontal="center" vertical="center" wrapText="1"/>
    </xf>
    <xf numFmtId="0" fontId="8" fillId="0" borderId="1" xfId="0" applyFont="1" applyFill="1" applyBorder="1" applyAlignment="1">
      <alignment horizontal="center" vertical="center" wrapText="1"/>
    </xf>
    <xf numFmtId="8" fontId="22" fillId="0" borderId="1" xfId="2" applyNumberFormat="1" applyFont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 wrapText="1"/>
    </xf>
  </cellXfs>
  <cellStyles count="3">
    <cellStyle name="Hipervínculo" xfId="2" builtinId="8"/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logitechstore.com.co/collections/mouse-office/products/mco-2425760826-mouse-usb-con-cable-logitech-m90-comodo-diseno-ambidiestro-jm" TargetMode="External"/><Relationship Id="rId2" Type="http://schemas.openxmlformats.org/officeDocument/2006/relationships/hyperlink" Target="https://www.falabella.com.co/falabella-co/product/151741128/mouse-genius-dx-101-optico-usb-1000-dpi-negro-ergonomico/151741129" TargetMode="External"/><Relationship Id="rId1" Type="http://schemas.openxmlformats.org/officeDocument/2006/relationships/hyperlink" Target="https://www.amazon.com/-/es/ergon%C3%B3mico-al%C3%A1mbrico-TeckNet-botones-2000DPI/dp/B01BC4TXXC/ref=sr_1_5?crid=BSACHB1V958T&amp;dib=eyJ2IjoiMSJ9.LS5nOEJvdSE8DdMWkn3Nu5ZN4zoF-FBOu4jAIa2YRF0kRZR0Y9-d4go1HtMpauIukHr3kc2Q06alPcHbvGyA276oGaDzQIWXjEC9OWC5CfXiUQfKEEj6VOXMSv_WbPHKXXOFGwbgSoj4HtSmhLRZwnC9F0GXWjTwohLuawgc5h7XOZGwhbOsNO-ixSmiuTSZneRxpZKXrkj0J1e195axMsh2vmyuiGrbL5tcIlAzzQo.54dKHUaFIfhYRRxN8C-LhOfXzEOvTQx7UsJPDlZiQ9Q&amp;dib_tag=se&amp;keywords=mouse%2Boffice&amp;qid=1772050957&amp;sprefix=mouse%2Boff%2Caps%2C161&amp;sr=8-5&amp;th=1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falabella.com.co/falabella-co/product/146462118/Computador-Gamer-Ryzen-5-5600GT-RAM-16GB-SSD-512GB-Board-A520-COMBO-GAMER/146462119" TargetMode="External"/><Relationship Id="rId2" Type="http://schemas.openxmlformats.org/officeDocument/2006/relationships/hyperlink" Target="https://www.amazon.com/-/es/Dell-3060-Computadora-escritorio-Professional/dp/B0CKTM52YC/ref=sr_1_2?crid=23LIFMAXMJLXK&amp;dib=eyJ2IjoiMSJ9.Y0fa0nF02_gqNa2F9acGAOeOKRlYb2rpwmjjI4mN1JBfGF0Qmo-vq_0KaKq5V1lvxjw7hYNTFC4B4h2-lD3hWUpZtaTDlik3oqj1qut5HbUr4O_kUmO54ez8gQVK1LNDXNqhJsYEJu3w4njsLI_tgXCS8-F2Qk_j3sETZRvY97sH0JoJGr9002F6TYPrt0CBN-nSrPRmCFz4xwpHhgTnoMt3XE-sW0dmLkFRlSDqeTA.ZFJzPhUnoTWuds6D1tJyDUi78ypCNcyAgMavJ-s4Mio&amp;dib_tag=se&amp;keywords=computadoras%2Bde%2Bescritorio&amp;qid=1772057109&amp;sprefix=computador%2Caps%2C158&amp;sr=8-2&amp;th=1" TargetMode="External"/><Relationship Id="rId1" Type="http://schemas.openxmlformats.org/officeDocument/2006/relationships/hyperlink" Target="https://www.falabella.com.co/falabella-co/product/119290348/COMPUTADOR-DE-ESCRITORIO-PROCESADOR-I3-10105F-SSD-512GB-MONITOR-22/119290350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falabella.com.co/falabella-co/product/149536835/Monitor-LG-22U401A-B-21.5-Fhd-Amd-Freesync-100hz-5ms/149536836" TargetMode="External"/><Relationship Id="rId2" Type="http://schemas.openxmlformats.org/officeDocument/2006/relationships/hyperlink" Target="https://www.amazon.com/-/es/Philips-221V8LB-frecuencia-actualizaci%C3%B3n-sincronizaci%C3%B3n/dp/B0CVM2GJCN/ref=sr_1_4?__mk_es_US=%C3%85M%C3%85%C5%BD%C3%95%C3%91&amp;crid=2YH5O3NTMFDD5&amp;dib=eyJ2IjoiMSJ9.HTyX823xUKGbbWcy5RBXDHSYdMFnFUxAj7RyiXAsCu4S20eildHI5Bw7ZRoJICwiDpvwvBU3nYsbmFJGoOoe-5ffqoTY-jg-sTAyLpoPd-korXv7g0h5m6cgsvLtuiNOpNW9t-YOLSJcLIvNAsyJeM6p9WTBmS1rBRUmf3JxeHc8bFdNZC_-vLOIxA0DlB5hu0w-B9axCLobiSp_dtBBtdXPRo7uSctsjQjb-1ejM1s.LUX2Jk7HnDkAsaefOwpOE9aJHs9aVOQiq1qGqoFIc7U&amp;dib_tag=se&amp;keywords=monitor&amp;qid=1772057886&amp;sprefix=moni%2Caps%2C183&amp;sr=8-4" TargetMode="External"/><Relationship Id="rId1" Type="http://schemas.openxmlformats.org/officeDocument/2006/relationships/hyperlink" Target="https://www.alkosto.com/monitor-kalley-22-pulgadas-k-m22fp-fhd-plano-negro/p/7705946476904" TargetMode="Externa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tigo.com.co/internet/planes" TargetMode="External"/><Relationship Id="rId2" Type="http://schemas.openxmlformats.org/officeDocument/2006/relationships/hyperlink" Target="https://www.claro.com.co/personas/servicios/servicios-hogar/internet/" TargetMode="External"/><Relationship Id="rId1" Type="http://schemas.openxmlformats.org/officeDocument/2006/relationships/hyperlink" Target="https://www.movistar.com.co/hogar/planes-internet-hogar" TargetMode="Externa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hyperlink" Target="https://3clics.co/index.php/es/computacion-y-software-2/windows-11-home-detail" TargetMode="External"/><Relationship Id="rId2" Type="http://schemas.openxmlformats.org/officeDocument/2006/relationships/hyperlink" Target="https://colombiapc.com/product/windows-11-pro-licencia-original/" TargetMode="External"/><Relationship Id="rId1" Type="http://schemas.openxmlformats.org/officeDocument/2006/relationships/hyperlink" Target="https://colombiakeys.com/producto/windows-11-pro-retail/" TargetMode="Externa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hyperlink" Target="https://azure.microsoft.com/es-es" TargetMode="External"/><Relationship Id="rId2" Type="http://schemas.openxmlformats.org/officeDocument/2006/relationships/hyperlink" Target="https://www.hostinger.com/es/servidor-vps" TargetMode="External"/><Relationship Id="rId1" Type="http://schemas.openxmlformats.org/officeDocument/2006/relationships/hyperlink" Target="https://aws.amazon.com/es/ec2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67E249-5583-457C-8A80-6F924FF890A6}">
  <dimension ref="B2:L5"/>
  <sheetViews>
    <sheetView tabSelected="1" topLeftCell="D1" workbookViewId="0">
      <selection activeCell="F3" sqref="F3"/>
    </sheetView>
  </sheetViews>
  <sheetFormatPr baseColWidth="10" defaultRowHeight="15" x14ac:dyDescent="0.25"/>
  <cols>
    <col min="3" max="3" width="16" customWidth="1"/>
    <col min="4" max="4" width="60.28515625" customWidth="1"/>
    <col min="5" max="5" width="34.5703125" customWidth="1"/>
    <col min="6" max="6" width="12.85546875" style="1" bestFit="1" customWidth="1"/>
    <col min="7" max="7" width="12.85546875" bestFit="1" customWidth="1"/>
    <col min="8" max="8" width="14.140625" style="2" customWidth="1"/>
    <col min="9" max="9" width="11.5703125" customWidth="1"/>
    <col min="10" max="10" width="13.140625" customWidth="1"/>
    <col min="11" max="11" width="63.42578125" customWidth="1"/>
  </cols>
  <sheetData>
    <row r="2" spans="2:12" ht="51" x14ac:dyDescent="0.25">
      <c r="B2" s="22" t="s">
        <v>59</v>
      </c>
      <c r="C2" s="23" t="s">
        <v>0</v>
      </c>
      <c r="D2" s="23" t="s">
        <v>64</v>
      </c>
      <c r="E2" s="23" t="s">
        <v>80</v>
      </c>
      <c r="F2" s="24" t="s">
        <v>1</v>
      </c>
      <c r="G2" s="25" t="s">
        <v>60</v>
      </c>
      <c r="H2" s="26" t="s">
        <v>76</v>
      </c>
      <c r="I2" s="23" t="s">
        <v>2</v>
      </c>
      <c r="J2" s="23" t="s">
        <v>3</v>
      </c>
      <c r="K2" s="23" t="s">
        <v>4</v>
      </c>
      <c r="L2" s="27" t="s">
        <v>61</v>
      </c>
    </row>
    <row r="3" spans="2:12" ht="63.75" x14ac:dyDescent="0.25">
      <c r="B3" s="35" t="s">
        <v>15</v>
      </c>
      <c r="C3" s="35" t="s">
        <v>14</v>
      </c>
      <c r="D3" s="29" t="s">
        <v>95</v>
      </c>
      <c r="E3" s="35" t="s">
        <v>11</v>
      </c>
      <c r="F3" s="41">
        <v>29000</v>
      </c>
      <c r="G3" s="38">
        <f>F3*0.19+F3</f>
        <v>34510</v>
      </c>
      <c r="H3" s="37">
        <f>F3/3693</f>
        <v>7.8526942864879503</v>
      </c>
      <c r="I3" s="39">
        <f>PRODUCT(H3*3690)</f>
        <v>28976.441917140535</v>
      </c>
      <c r="J3" s="35" t="s">
        <v>7</v>
      </c>
      <c r="K3" s="40" t="s">
        <v>107</v>
      </c>
      <c r="L3" s="34" t="s">
        <v>62</v>
      </c>
    </row>
    <row r="4" spans="2:12" ht="76.5" x14ac:dyDescent="0.25">
      <c r="B4" s="35" t="s">
        <v>16</v>
      </c>
      <c r="C4" s="35" t="s">
        <v>10</v>
      </c>
      <c r="D4" s="29" t="s">
        <v>94</v>
      </c>
      <c r="E4" s="36" t="s">
        <v>6</v>
      </c>
      <c r="F4" s="37">
        <v>40929.199999999997</v>
      </c>
      <c r="G4" s="38">
        <f t="shared" ref="G4:G5" si="0">F4*0.19+F4</f>
        <v>48705.748</v>
      </c>
      <c r="H4" s="37">
        <f>F4/3693</f>
        <v>11.082913620362849</v>
      </c>
      <c r="I4" s="39">
        <f>PRODUCT(H4*3690)</f>
        <v>40895.951259138914</v>
      </c>
      <c r="J4" s="35" t="s">
        <v>7</v>
      </c>
      <c r="K4" s="40" t="s">
        <v>108</v>
      </c>
      <c r="L4" s="34" t="s">
        <v>62</v>
      </c>
    </row>
    <row r="5" spans="2:12" ht="51" x14ac:dyDescent="0.25">
      <c r="B5" s="35" t="s">
        <v>9</v>
      </c>
      <c r="C5" s="35" t="s">
        <v>12</v>
      </c>
      <c r="D5" s="29" t="s">
        <v>109</v>
      </c>
      <c r="E5" s="42" t="s">
        <v>13</v>
      </c>
      <c r="F5" s="41">
        <v>120000</v>
      </c>
      <c r="G5" s="38">
        <f t="shared" si="0"/>
        <v>142800</v>
      </c>
      <c r="H5" s="37">
        <f>F5/3693</f>
        <v>32.49390739236393</v>
      </c>
      <c r="I5" s="39">
        <f>PRODUCT(H5*3690)</f>
        <v>119902.51827782291</v>
      </c>
      <c r="J5" s="35" t="s">
        <v>7</v>
      </c>
      <c r="K5" s="43" t="s">
        <v>110</v>
      </c>
      <c r="L5" s="34" t="s">
        <v>62</v>
      </c>
    </row>
  </sheetData>
  <hyperlinks>
    <hyperlink ref="L4" r:id="rId1" xr:uid="{FE9FAA6C-F278-47D7-BD67-36F000B8ABFA}"/>
    <hyperlink ref="L3" r:id="rId2" xr:uid="{81CE838A-69F6-4EFA-ACFA-581C92E24312}"/>
    <hyperlink ref="L5" r:id="rId3" xr:uid="{2E81B803-763E-413A-A052-99DE2024DFAF}"/>
  </hyperlinks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68FE7C-EF1C-469C-801E-8086C7409C31}">
  <dimension ref="B2:L5"/>
  <sheetViews>
    <sheetView zoomScale="93" zoomScaleNormal="93" workbookViewId="0">
      <selection activeCell="E3" sqref="E3"/>
    </sheetView>
  </sheetViews>
  <sheetFormatPr baseColWidth="10" defaultRowHeight="15" x14ac:dyDescent="0.25"/>
  <cols>
    <col min="2" max="2" width="11.7109375" bestFit="1" customWidth="1"/>
    <col min="4" max="4" width="49.85546875" customWidth="1"/>
    <col min="5" max="5" width="37.5703125" customWidth="1"/>
    <col min="6" max="7" width="14.5703125" bestFit="1" customWidth="1"/>
    <col min="8" max="8" width="15" customWidth="1"/>
    <col min="9" max="9" width="13.7109375" bestFit="1" customWidth="1"/>
    <col min="11" max="11" width="56.140625" customWidth="1"/>
  </cols>
  <sheetData>
    <row r="2" spans="2:12" ht="51" x14ac:dyDescent="0.25">
      <c r="B2" s="22" t="s">
        <v>59</v>
      </c>
      <c r="C2" s="23" t="s">
        <v>0</v>
      </c>
      <c r="D2" s="23" t="s">
        <v>63</v>
      </c>
      <c r="E2" s="23" t="s">
        <v>80</v>
      </c>
      <c r="F2" s="24" t="s">
        <v>1</v>
      </c>
      <c r="G2" s="25" t="s">
        <v>60</v>
      </c>
      <c r="H2" s="26" t="s">
        <v>76</v>
      </c>
      <c r="I2" s="23" t="s">
        <v>2</v>
      </c>
      <c r="J2" s="23" t="s">
        <v>3</v>
      </c>
      <c r="K2" s="23" t="s">
        <v>4</v>
      </c>
      <c r="L2" s="27" t="s">
        <v>61</v>
      </c>
    </row>
    <row r="3" spans="2:12" ht="102" x14ac:dyDescent="0.25">
      <c r="B3" s="35" t="s">
        <v>15</v>
      </c>
      <c r="C3" s="35" t="s">
        <v>10</v>
      </c>
      <c r="D3" s="15" t="s">
        <v>102</v>
      </c>
      <c r="E3" s="42" t="s">
        <v>20</v>
      </c>
      <c r="F3" s="41">
        <v>1488970</v>
      </c>
      <c r="G3" s="38">
        <f>F3*0.19+F3</f>
        <v>1771874.3</v>
      </c>
      <c r="H3" s="37">
        <f>F3/3693</f>
        <v>403.18711075006769</v>
      </c>
      <c r="I3" s="39">
        <f>PRODUCT(H3*3690)</f>
        <v>1487760.4386677498</v>
      </c>
      <c r="J3" s="35" t="s">
        <v>7</v>
      </c>
      <c r="K3" s="43" t="s">
        <v>103</v>
      </c>
      <c r="L3" s="33" t="s">
        <v>62</v>
      </c>
    </row>
    <row r="4" spans="2:12" ht="76.5" x14ac:dyDescent="0.25">
      <c r="B4" s="35" t="s">
        <v>16</v>
      </c>
      <c r="C4" s="35" t="s">
        <v>18</v>
      </c>
      <c r="D4" s="15" t="s">
        <v>104</v>
      </c>
      <c r="E4" s="36" t="s">
        <v>19</v>
      </c>
      <c r="F4" s="37">
        <v>1900000</v>
      </c>
      <c r="G4" s="38">
        <f t="shared" ref="G4:G5" si="0">F4*0.19+F4</f>
        <v>2261000</v>
      </c>
      <c r="H4" s="37">
        <f>F4/3693</f>
        <v>514.48686704576221</v>
      </c>
      <c r="I4" s="39">
        <f>PRODUCT(H4*3690)</f>
        <v>1898456.5393988625</v>
      </c>
      <c r="J4" s="35" t="s">
        <v>7</v>
      </c>
      <c r="K4" s="40" t="s">
        <v>105</v>
      </c>
      <c r="L4" s="33" t="s">
        <v>62</v>
      </c>
    </row>
    <row r="5" spans="2:12" ht="63.75" x14ac:dyDescent="0.25">
      <c r="B5" s="35" t="s">
        <v>9</v>
      </c>
      <c r="C5" s="35" t="s">
        <v>14</v>
      </c>
      <c r="D5" s="29" t="s">
        <v>95</v>
      </c>
      <c r="E5" s="35" t="s">
        <v>17</v>
      </c>
      <c r="F5" s="41">
        <v>2900000</v>
      </c>
      <c r="G5" s="38">
        <f t="shared" si="0"/>
        <v>3451000</v>
      </c>
      <c r="H5" s="37">
        <f>F5/3693</f>
        <v>785.26942864879504</v>
      </c>
      <c r="I5" s="39">
        <f>PRODUCT(H5*3690)</f>
        <v>2897644.1917140535</v>
      </c>
      <c r="J5" s="35" t="s">
        <v>7</v>
      </c>
      <c r="K5" s="43" t="s">
        <v>106</v>
      </c>
      <c r="L5" s="33" t="s">
        <v>62</v>
      </c>
    </row>
  </sheetData>
  <hyperlinks>
    <hyperlink ref="L4" r:id="rId1" xr:uid="{B188BA77-8991-4D5A-82EB-2F2E568C77C5}"/>
    <hyperlink ref="L3" r:id="rId2" xr:uid="{CE932E90-2AE6-4EF4-9876-844780124E90}"/>
    <hyperlink ref="L5" r:id="rId3" xr:uid="{8748B311-0E11-4507-B5D8-D13F2FF1C168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05B368-BF60-465D-B504-479DE9CD38A8}">
  <dimension ref="B2:L5"/>
  <sheetViews>
    <sheetView topLeftCell="D1" zoomScale="91" zoomScaleNormal="91" workbookViewId="0">
      <selection activeCell="H3" sqref="H3"/>
    </sheetView>
  </sheetViews>
  <sheetFormatPr baseColWidth="10" defaultRowHeight="15" x14ac:dyDescent="0.25"/>
  <cols>
    <col min="2" max="2" width="15" customWidth="1"/>
    <col min="4" max="4" width="55.140625" customWidth="1"/>
    <col min="5" max="5" width="24.5703125" customWidth="1"/>
    <col min="6" max="7" width="13.28515625" bestFit="1" customWidth="1"/>
    <col min="8" max="8" width="15.7109375" customWidth="1"/>
    <col min="9" max="9" width="12.42578125" bestFit="1" customWidth="1"/>
    <col min="11" max="11" width="68.5703125" customWidth="1"/>
    <col min="12" max="12" width="11.42578125" customWidth="1"/>
  </cols>
  <sheetData>
    <row r="2" spans="2:12" ht="51" x14ac:dyDescent="0.25">
      <c r="B2" s="44" t="s">
        <v>59</v>
      </c>
      <c r="C2" s="12" t="s">
        <v>0</v>
      </c>
      <c r="D2" s="12" t="s">
        <v>63</v>
      </c>
      <c r="E2" s="12" t="s">
        <v>80</v>
      </c>
      <c r="F2" s="45" t="s">
        <v>1</v>
      </c>
      <c r="G2" s="46" t="s">
        <v>60</v>
      </c>
      <c r="H2" s="47" t="s">
        <v>90</v>
      </c>
      <c r="I2" s="12" t="s">
        <v>2</v>
      </c>
      <c r="J2" s="12" t="s">
        <v>3</v>
      </c>
      <c r="K2" s="12" t="s">
        <v>4</v>
      </c>
      <c r="L2" s="27" t="s">
        <v>61</v>
      </c>
    </row>
    <row r="3" spans="2:12" ht="76.5" x14ac:dyDescent="0.25">
      <c r="B3" s="14" t="s">
        <v>15</v>
      </c>
      <c r="C3" s="14" t="s">
        <v>10</v>
      </c>
      <c r="D3" s="49" t="s">
        <v>96</v>
      </c>
      <c r="E3" s="17" t="s">
        <v>24</v>
      </c>
      <c r="F3" s="19">
        <v>277762.96000000002</v>
      </c>
      <c r="G3" s="30">
        <f>F3*0.19+F3</f>
        <v>330537.92240000004</v>
      </c>
      <c r="H3" s="31">
        <f>F3/3693</f>
        <v>75.213365827240736</v>
      </c>
      <c r="I3" s="32">
        <f>PRODUCT(H3*3690)</f>
        <v>277537.3199025183</v>
      </c>
      <c r="J3" s="14" t="s">
        <v>7</v>
      </c>
      <c r="K3" s="51" t="s">
        <v>97</v>
      </c>
      <c r="L3" s="34" t="s">
        <v>62</v>
      </c>
    </row>
    <row r="4" spans="2:12" ht="38.25" x14ac:dyDescent="0.25">
      <c r="B4" s="14" t="s">
        <v>16</v>
      </c>
      <c r="C4" s="14" t="s">
        <v>22</v>
      </c>
      <c r="D4" s="49" t="s">
        <v>98</v>
      </c>
      <c r="E4" s="17" t="s">
        <v>23</v>
      </c>
      <c r="F4" s="31">
        <v>489000</v>
      </c>
      <c r="G4" s="30">
        <f t="shared" ref="G4:G5" si="0">F4*0.19+F4</f>
        <v>581910</v>
      </c>
      <c r="H4" s="31">
        <f>F4/3693</f>
        <v>132.41267262388303</v>
      </c>
      <c r="I4" s="32">
        <f>PRODUCT(H4*3690)</f>
        <v>488602.76198212837</v>
      </c>
      <c r="J4" s="14" t="s">
        <v>7</v>
      </c>
      <c r="K4" s="17" t="s">
        <v>99</v>
      </c>
      <c r="L4" s="34" t="s">
        <v>62</v>
      </c>
    </row>
    <row r="5" spans="2:12" ht="76.5" x14ac:dyDescent="0.25">
      <c r="B5" s="14" t="s">
        <v>9</v>
      </c>
      <c r="C5" s="14" t="s">
        <v>14</v>
      </c>
      <c r="D5" s="49" t="s">
        <v>100</v>
      </c>
      <c r="E5" s="14" t="s">
        <v>21</v>
      </c>
      <c r="F5" s="19">
        <v>500000</v>
      </c>
      <c r="G5" s="30">
        <f t="shared" si="0"/>
        <v>595000</v>
      </c>
      <c r="H5" s="31">
        <f>F5/3693</f>
        <v>135.39128080151639</v>
      </c>
      <c r="I5" s="32">
        <f>PRODUCT(H5*3690)</f>
        <v>499593.8261575955</v>
      </c>
      <c r="J5" s="14" t="s">
        <v>7</v>
      </c>
      <c r="K5" s="17" t="s">
        <v>101</v>
      </c>
      <c r="L5" s="34" t="s">
        <v>62</v>
      </c>
    </row>
  </sheetData>
  <hyperlinks>
    <hyperlink ref="L4" r:id="rId1" xr:uid="{9CFFF5F9-60CA-4586-8E8B-03867DB9FB84}"/>
    <hyperlink ref="L3" r:id="rId2" xr:uid="{EB17C83B-F9A3-4163-AC31-F76FFA1F6E48}"/>
    <hyperlink ref="L5" r:id="rId3" xr:uid="{D93E88E3-9CEF-4692-9E78-33091D43CDEC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E3FD7F-B86D-47F4-BFBF-A5CD7D363940}">
  <dimension ref="B2:L5"/>
  <sheetViews>
    <sheetView zoomScale="80" zoomScaleNormal="80" workbookViewId="0">
      <selection activeCell="H5" sqref="H5"/>
    </sheetView>
  </sheetViews>
  <sheetFormatPr baseColWidth="10" defaultRowHeight="15" x14ac:dyDescent="0.25"/>
  <cols>
    <col min="2" max="2" width="15.7109375" bestFit="1" customWidth="1"/>
    <col min="3" max="3" width="11.42578125" customWidth="1"/>
    <col min="4" max="4" width="55.28515625" customWidth="1"/>
    <col min="5" max="5" width="26.7109375" customWidth="1"/>
    <col min="6" max="6" width="12.42578125" bestFit="1" customWidth="1"/>
    <col min="7" max="7" width="16" customWidth="1"/>
    <col min="8" max="8" width="14.85546875" customWidth="1"/>
    <col min="11" max="11" width="18.5703125" bestFit="1" customWidth="1"/>
  </cols>
  <sheetData>
    <row r="2" spans="2:12" ht="51" x14ac:dyDescent="0.25">
      <c r="B2" s="44" t="s">
        <v>59</v>
      </c>
      <c r="C2" s="12" t="s">
        <v>0</v>
      </c>
      <c r="D2" s="12" t="s">
        <v>63</v>
      </c>
      <c r="E2" s="12" t="s">
        <v>80</v>
      </c>
      <c r="F2" s="45" t="s">
        <v>1</v>
      </c>
      <c r="G2" s="46" t="s">
        <v>60</v>
      </c>
      <c r="H2" s="47" t="s">
        <v>90</v>
      </c>
      <c r="I2" s="12" t="s">
        <v>2</v>
      </c>
      <c r="J2" s="12" t="s">
        <v>3</v>
      </c>
      <c r="K2" s="12" t="s">
        <v>4</v>
      </c>
      <c r="L2" s="48" t="s">
        <v>26</v>
      </c>
    </row>
    <row r="3" spans="2:12" ht="38.25" x14ac:dyDescent="0.25">
      <c r="B3" s="14" t="s">
        <v>15</v>
      </c>
      <c r="C3" s="14" t="s">
        <v>28</v>
      </c>
      <c r="D3" s="49" t="s">
        <v>91</v>
      </c>
      <c r="E3" s="17" t="s">
        <v>89</v>
      </c>
      <c r="F3" s="19">
        <v>90000</v>
      </c>
      <c r="G3" s="30">
        <f>F3*0.19</f>
        <v>17100</v>
      </c>
      <c r="H3" s="31">
        <f>F3/3693</f>
        <v>24.370430544272949</v>
      </c>
      <c r="I3" s="32">
        <f>PRODUCT(H3*3690)</f>
        <v>89926.888708367187</v>
      </c>
      <c r="J3" s="14" t="s">
        <v>7</v>
      </c>
      <c r="K3" s="17" t="s">
        <v>30</v>
      </c>
      <c r="L3" s="50" t="s">
        <v>62</v>
      </c>
    </row>
    <row r="4" spans="2:12" ht="38.25" x14ac:dyDescent="0.25">
      <c r="B4" s="14" t="s">
        <v>8</v>
      </c>
      <c r="C4" s="14" t="s">
        <v>25</v>
      </c>
      <c r="D4" s="49" t="s">
        <v>92</v>
      </c>
      <c r="E4" s="17" t="s">
        <v>89</v>
      </c>
      <c r="F4" s="19">
        <v>95000</v>
      </c>
      <c r="G4" s="30">
        <f>F4*0.19+F4</f>
        <v>113050</v>
      </c>
      <c r="H4" s="31">
        <f>F4/3693</f>
        <v>25.724343352288113</v>
      </c>
      <c r="I4" s="32">
        <f>PRODUCT(H4*3690)</f>
        <v>94922.82696994314</v>
      </c>
      <c r="J4" s="14" t="s">
        <v>7</v>
      </c>
      <c r="K4" s="17" t="s">
        <v>30</v>
      </c>
      <c r="L4" s="50" t="s">
        <v>62</v>
      </c>
    </row>
    <row r="5" spans="2:12" ht="38.25" x14ac:dyDescent="0.25">
      <c r="B5" s="14" t="s">
        <v>31</v>
      </c>
      <c r="C5" s="14" t="s">
        <v>27</v>
      </c>
      <c r="D5" s="49" t="s">
        <v>93</v>
      </c>
      <c r="E5" s="17" t="s">
        <v>89</v>
      </c>
      <c r="F5" s="31">
        <v>85000</v>
      </c>
      <c r="G5" s="31">
        <v>85000</v>
      </c>
      <c r="H5" s="31">
        <f>F5/3693</f>
        <v>23.016517736257786</v>
      </c>
      <c r="I5" s="32">
        <f>PRODUCT(H5*3690)</f>
        <v>84930.950446791234</v>
      </c>
      <c r="J5" s="14" t="s">
        <v>7</v>
      </c>
      <c r="K5" s="17" t="s">
        <v>29</v>
      </c>
      <c r="L5" s="50" t="s">
        <v>62</v>
      </c>
    </row>
  </sheetData>
  <hyperlinks>
    <hyperlink ref="L4" r:id="rId1" xr:uid="{1FB99D13-710F-4A34-A511-99556F197C28}"/>
    <hyperlink ref="L3" r:id="rId2" xr:uid="{0CFA3242-65F5-46CE-817C-DDBC68597FDA}"/>
    <hyperlink ref="L5" r:id="rId3" xr:uid="{95063792-153E-4A51-BECA-FDE0056C917F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85B8F7-B9D7-4069-827B-DAB3031AF479}">
  <dimension ref="B2:L5"/>
  <sheetViews>
    <sheetView topLeftCell="D1" zoomScale="82" zoomScaleNormal="82" workbookViewId="0">
      <selection activeCell="G3" sqref="G3"/>
    </sheetView>
  </sheetViews>
  <sheetFormatPr baseColWidth="10" defaultRowHeight="15" x14ac:dyDescent="0.25"/>
  <cols>
    <col min="2" max="2" width="18.28515625" customWidth="1"/>
    <col min="3" max="3" width="13.42578125" customWidth="1"/>
    <col min="4" max="4" width="35" bestFit="1" customWidth="1"/>
    <col min="5" max="5" width="24.42578125" customWidth="1"/>
    <col min="6" max="6" width="12.7109375" bestFit="1" customWidth="1"/>
    <col min="7" max="7" width="14.85546875" customWidth="1"/>
    <col min="8" max="8" width="15.85546875" customWidth="1"/>
    <col min="9" max="9" width="12" bestFit="1" customWidth="1"/>
    <col min="10" max="10" width="16.42578125" customWidth="1"/>
    <col min="11" max="11" width="72" customWidth="1"/>
  </cols>
  <sheetData>
    <row r="2" spans="2:12" ht="55.5" customHeight="1" x14ac:dyDescent="0.25">
      <c r="B2" s="22" t="s">
        <v>59</v>
      </c>
      <c r="C2" s="23" t="s">
        <v>0</v>
      </c>
      <c r="D2" s="23" t="s">
        <v>63</v>
      </c>
      <c r="E2" s="23" t="s">
        <v>80</v>
      </c>
      <c r="F2" s="24" t="s">
        <v>1</v>
      </c>
      <c r="G2" s="25" t="s">
        <v>60</v>
      </c>
      <c r="H2" s="26" t="s">
        <v>76</v>
      </c>
      <c r="I2" s="23" t="s">
        <v>2</v>
      </c>
      <c r="J2" s="23" t="s">
        <v>3</v>
      </c>
      <c r="K2" s="23" t="s">
        <v>4</v>
      </c>
      <c r="L2" s="27" t="s">
        <v>69</v>
      </c>
    </row>
    <row r="3" spans="2:12" ht="113.25" customHeight="1" x14ac:dyDescent="0.25">
      <c r="B3" s="35" t="s">
        <v>5</v>
      </c>
      <c r="C3" s="35" t="s">
        <v>34</v>
      </c>
      <c r="D3" s="29" t="s">
        <v>83</v>
      </c>
      <c r="E3" s="36" t="s">
        <v>35</v>
      </c>
      <c r="F3" s="37">
        <v>38000</v>
      </c>
      <c r="G3" s="38">
        <f>F3*0.19</f>
        <v>7220</v>
      </c>
      <c r="H3" s="37">
        <f>F3/3693</f>
        <v>10.289737340915245</v>
      </c>
      <c r="I3" s="39">
        <f>PRODUCT(H3*3690)</f>
        <v>37969.130787977258</v>
      </c>
      <c r="J3" s="35" t="s">
        <v>7</v>
      </c>
      <c r="K3" s="40" t="s">
        <v>84</v>
      </c>
      <c r="L3" s="33" t="s">
        <v>62</v>
      </c>
    </row>
    <row r="4" spans="2:12" ht="84.75" customHeight="1" x14ac:dyDescent="0.25">
      <c r="B4" s="35" t="s">
        <v>8</v>
      </c>
      <c r="C4" s="35" t="s">
        <v>32</v>
      </c>
      <c r="D4" s="29" t="s">
        <v>85</v>
      </c>
      <c r="E4" s="35" t="s">
        <v>33</v>
      </c>
      <c r="F4" s="41">
        <v>47500</v>
      </c>
      <c r="G4" s="38">
        <f>F4*0.19</f>
        <v>9025</v>
      </c>
      <c r="H4" s="37">
        <f>F4/3693</f>
        <v>12.862171676144056</v>
      </c>
      <c r="I4" s="39">
        <f>PRODUCT(H4*3690)</f>
        <v>47461.41348497157</v>
      </c>
      <c r="J4" s="35" t="s">
        <v>7</v>
      </c>
      <c r="K4" s="40" t="s">
        <v>86</v>
      </c>
      <c r="L4" s="33" t="s">
        <v>62</v>
      </c>
    </row>
    <row r="5" spans="2:12" ht="102" x14ac:dyDescent="0.25">
      <c r="B5" s="35" t="s">
        <v>9</v>
      </c>
      <c r="C5" s="35" t="s">
        <v>36</v>
      </c>
      <c r="D5" s="29" t="s">
        <v>87</v>
      </c>
      <c r="E5" s="42" t="s">
        <v>37</v>
      </c>
      <c r="F5" s="41">
        <v>90000</v>
      </c>
      <c r="G5" s="38">
        <f>F5*0.19</f>
        <v>17100</v>
      </c>
      <c r="H5" s="37">
        <f>F5/3693</f>
        <v>24.370430544272949</v>
      </c>
      <c r="I5" s="39">
        <f>PRODUCT(H5*3690)</f>
        <v>89926.888708367187</v>
      </c>
      <c r="J5" s="35" t="s">
        <v>7</v>
      </c>
      <c r="K5" s="43" t="s">
        <v>88</v>
      </c>
      <c r="L5" s="33" t="s">
        <v>62</v>
      </c>
    </row>
  </sheetData>
  <hyperlinks>
    <hyperlink ref="L4" r:id="rId1" xr:uid="{8FDEC45F-56C9-42D0-8E2B-726DA47B533D}"/>
    <hyperlink ref="L3" r:id="rId2" xr:uid="{D89E3D94-8362-46AC-B480-B29EAE51F2A2}"/>
    <hyperlink ref="L5" r:id="rId3" xr:uid="{ADB0FDA1-6D4C-4E33-B610-71144C10A0BE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AC5D8E-12AC-4305-8095-3728FF156AE2}">
  <dimension ref="B2:L5"/>
  <sheetViews>
    <sheetView zoomScale="71" zoomScaleNormal="71" workbookViewId="0">
      <selection activeCell="H3" sqref="H3"/>
    </sheetView>
  </sheetViews>
  <sheetFormatPr baseColWidth="10" defaultRowHeight="15" x14ac:dyDescent="0.25"/>
  <cols>
    <col min="2" max="2" width="13.42578125" customWidth="1"/>
    <col min="3" max="3" width="21.85546875" customWidth="1"/>
    <col min="4" max="4" width="56.5703125" customWidth="1"/>
    <col min="5" max="5" width="45" customWidth="1"/>
    <col min="6" max="6" width="12.85546875" bestFit="1" customWidth="1"/>
    <col min="7" max="7" width="11.85546875" bestFit="1" customWidth="1"/>
    <col min="8" max="8" width="15.42578125" customWidth="1"/>
    <col min="9" max="9" width="11.7109375" bestFit="1" customWidth="1"/>
    <col min="10" max="10" width="13.7109375" customWidth="1"/>
    <col min="11" max="11" width="34.140625" customWidth="1"/>
  </cols>
  <sheetData>
    <row r="2" spans="2:12" ht="51" x14ac:dyDescent="0.25">
      <c r="B2" s="22" t="s">
        <v>59</v>
      </c>
      <c r="C2" s="23" t="s">
        <v>0</v>
      </c>
      <c r="D2" s="23" t="s">
        <v>63</v>
      </c>
      <c r="E2" s="23" t="s">
        <v>80</v>
      </c>
      <c r="F2" s="24" t="s">
        <v>1</v>
      </c>
      <c r="G2" s="25" t="s">
        <v>81</v>
      </c>
      <c r="H2" s="26" t="s">
        <v>82</v>
      </c>
      <c r="I2" s="23" t="s">
        <v>2</v>
      </c>
      <c r="J2" s="23" t="s">
        <v>3</v>
      </c>
      <c r="K2" s="23" t="s">
        <v>4</v>
      </c>
      <c r="L2" s="27" t="s">
        <v>68</v>
      </c>
    </row>
    <row r="3" spans="2:12" ht="140.25" x14ac:dyDescent="0.25">
      <c r="B3" s="14" t="s">
        <v>15</v>
      </c>
      <c r="C3" s="28" t="s">
        <v>65</v>
      </c>
      <c r="D3" s="29" t="s">
        <v>77</v>
      </c>
      <c r="E3" s="14" t="s">
        <v>66</v>
      </c>
      <c r="F3" s="19">
        <v>70000</v>
      </c>
      <c r="G3" s="30">
        <f>F3*0.19</f>
        <v>13300</v>
      </c>
      <c r="H3" s="31">
        <f>F3/3693</f>
        <v>18.954779312212292</v>
      </c>
      <c r="I3" s="32">
        <f>PRODUCT(H3*3690)</f>
        <v>69943.13566206336</v>
      </c>
      <c r="J3" s="14" t="s">
        <v>7</v>
      </c>
      <c r="K3" s="17" t="s">
        <v>67</v>
      </c>
      <c r="L3" s="34" t="s">
        <v>62</v>
      </c>
    </row>
    <row r="4" spans="2:12" ht="89.25" x14ac:dyDescent="0.25">
      <c r="B4" s="14" t="s">
        <v>16</v>
      </c>
      <c r="C4" s="14" t="s">
        <v>70</v>
      </c>
      <c r="D4" s="29" t="s">
        <v>78</v>
      </c>
      <c r="E4" s="17" t="s">
        <v>71</v>
      </c>
      <c r="F4" s="31">
        <v>150000</v>
      </c>
      <c r="G4" s="30">
        <f>F4*0.19</f>
        <v>28500</v>
      </c>
      <c r="H4" s="31">
        <f>F4/3693</f>
        <v>40.617384240454918</v>
      </c>
      <c r="I4" s="32">
        <f>PRODUCT(H4*3690)</f>
        <v>149878.14784727865</v>
      </c>
      <c r="J4" s="14" t="s">
        <v>7</v>
      </c>
      <c r="K4" s="17" t="s">
        <v>72</v>
      </c>
      <c r="L4" s="34" t="s">
        <v>62</v>
      </c>
    </row>
    <row r="5" spans="2:12" ht="76.5" x14ac:dyDescent="0.25">
      <c r="B5" s="14" t="s">
        <v>9</v>
      </c>
      <c r="C5" s="14" t="s">
        <v>73</v>
      </c>
      <c r="D5" s="29" t="s">
        <v>79</v>
      </c>
      <c r="E5" s="17" t="s">
        <v>74</v>
      </c>
      <c r="F5" s="19">
        <v>180000</v>
      </c>
      <c r="G5" s="30">
        <f>F5*0.19</f>
        <v>34200</v>
      </c>
      <c r="H5" s="31">
        <f>F5/3693</f>
        <v>48.740861088545898</v>
      </c>
      <c r="I5" s="32">
        <f>PRODUCT(H5*3690)</f>
        <v>179853.77741673437</v>
      </c>
      <c r="J5" s="14" t="s">
        <v>7</v>
      </c>
      <c r="K5" s="17" t="s">
        <v>75</v>
      </c>
      <c r="L5" s="34" t="s">
        <v>62</v>
      </c>
    </row>
  </sheetData>
  <hyperlinks>
    <hyperlink ref="L4" r:id="rId1" xr:uid="{FB9CFD1C-E7A5-4BDE-BCE9-B6B3F01951DB}"/>
    <hyperlink ref="L3" r:id="rId2" xr:uid="{7077661E-C282-4D08-AC06-0E99626EC221}"/>
    <hyperlink ref="L5" r:id="rId3" xr:uid="{C075C11F-A15B-4ED6-9450-609505E1D88A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2F1D35-CE11-4509-B542-6153953341D6}">
  <dimension ref="B2:K8"/>
  <sheetViews>
    <sheetView zoomScale="106" zoomScaleNormal="106" workbookViewId="0">
      <selection activeCell="H4" sqref="H4"/>
    </sheetView>
  </sheetViews>
  <sheetFormatPr baseColWidth="10" defaultRowHeight="15" x14ac:dyDescent="0.25"/>
  <cols>
    <col min="2" max="2" width="15.140625" customWidth="1"/>
    <col min="3" max="3" width="19.28515625" customWidth="1"/>
    <col min="4" max="4" width="43" customWidth="1"/>
    <col min="5" max="5" width="13.7109375" customWidth="1"/>
    <col min="6" max="6" width="15" bestFit="1" customWidth="1"/>
    <col min="11" max="11" width="14.140625" customWidth="1"/>
  </cols>
  <sheetData>
    <row r="2" spans="2:11" ht="38.25" x14ac:dyDescent="0.25">
      <c r="B2" s="12" t="s">
        <v>38</v>
      </c>
      <c r="C2" s="12" t="s">
        <v>39</v>
      </c>
      <c r="D2" s="12" t="s">
        <v>41</v>
      </c>
      <c r="E2" s="12" t="s">
        <v>40</v>
      </c>
      <c r="F2" s="13" t="s">
        <v>42</v>
      </c>
      <c r="G2" s="3"/>
      <c r="H2" s="4"/>
      <c r="I2" s="5"/>
      <c r="J2" s="5"/>
      <c r="K2" s="5"/>
    </row>
    <row r="3" spans="2:11" ht="25.5" x14ac:dyDescent="0.25">
      <c r="B3" s="14" t="s">
        <v>43</v>
      </c>
      <c r="C3" s="14" t="s">
        <v>49</v>
      </c>
      <c r="D3" s="15" t="s">
        <v>48</v>
      </c>
      <c r="E3" s="14">
        <v>3150696093</v>
      </c>
      <c r="F3" s="16">
        <v>2200000</v>
      </c>
      <c r="G3" s="6"/>
      <c r="H3" s="7"/>
      <c r="I3" s="8"/>
      <c r="J3" s="9"/>
      <c r="K3" s="10"/>
    </row>
    <row r="4" spans="2:11" ht="25.5" x14ac:dyDescent="0.25">
      <c r="B4" s="14" t="s">
        <v>44</v>
      </c>
      <c r="C4" s="14" t="s">
        <v>50</v>
      </c>
      <c r="D4" s="15" t="s">
        <v>51</v>
      </c>
      <c r="E4" s="17">
        <v>3108761260</v>
      </c>
      <c r="F4" s="18">
        <v>2200000</v>
      </c>
      <c r="G4" s="6"/>
      <c r="H4" s="7"/>
      <c r="I4" s="8"/>
      <c r="J4" s="9"/>
      <c r="K4" s="10"/>
    </row>
    <row r="5" spans="2:11" ht="25.5" x14ac:dyDescent="0.25">
      <c r="B5" s="14" t="s">
        <v>45</v>
      </c>
      <c r="C5" s="14" t="s">
        <v>52</v>
      </c>
      <c r="D5" s="15" t="s">
        <v>53</v>
      </c>
      <c r="E5" s="17">
        <v>3168419908</v>
      </c>
      <c r="F5" s="19">
        <v>4000000</v>
      </c>
      <c r="G5" s="6"/>
      <c r="H5" s="7"/>
      <c r="I5" s="8"/>
      <c r="J5" s="9"/>
      <c r="K5" s="11"/>
    </row>
    <row r="6" spans="2:11" ht="25.5" x14ac:dyDescent="0.25">
      <c r="B6" s="14" t="s">
        <v>46</v>
      </c>
      <c r="C6" s="14" t="s">
        <v>54</v>
      </c>
      <c r="D6" s="15" t="s">
        <v>55</v>
      </c>
      <c r="E6" s="17">
        <v>310223914</v>
      </c>
      <c r="F6" s="19">
        <v>5500000</v>
      </c>
    </row>
    <row r="7" spans="2:11" ht="25.5" x14ac:dyDescent="0.25">
      <c r="B7" s="14" t="s">
        <v>47</v>
      </c>
      <c r="C7" s="14" t="s">
        <v>56</v>
      </c>
      <c r="D7" s="15" t="s">
        <v>57</v>
      </c>
      <c r="E7" s="17">
        <v>3114225082</v>
      </c>
      <c r="F7" s="19">
        <v>1800000</v>
      </c>
    </row>
    <row r="8" spans="2:11" ht="27" customHeight="1" x14ac:dyDescent="0.25">
      <c r="B8" s="20"/>
      <c r="C8" s="20"/>
      <c r="D8" s="20"/>
      <c r="E8" s="21" t="s">
        <v>58</v>
      </c>
      <c r="F8" s="16">
        <f>SUM(F3:F7)</f>
        <v>15700000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Mouse</vt:lpstr>
      <vt:lpstr>PC</vt:lpstr>
      <vt:lpstr>Monitor</vt:lpstr>
      <vt:lpstr>Conectividad</vt:lpstr>
      <vt:lpstr>Windows</vt:lpstr>
      <vt:lpstr>Servidores</vt:lpstr>
      <vt:lpstr>Desarrollo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2026-02-25T20:25:20Z</dcterms:created>
  <dcterms:modified xsi:type="dcterms:W3CDTF">2026-02-26T01:40:50Z</dcterms:modified>
</cp:coreProperties>
</file>